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" sheetId="1" state="visible" r:id="rId1"/>
    <sheet name="الأصناف" sheetId="2" state="visible" r:id="rId2"/>
    <sheet name="أسعار المنافسين" sheetId="3" state="visible" r:id="rId3"/>
    <sheet name="المقارنة" sheetId="4" state="visible" r:id="rId4"/>
    <sheet name="المنافسو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FF"/>
      <sz val="10"/>
      <u val="single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vertical="top" wrapText="1" readingOrder="2"/>
    </xf>
    <xf numFmtId="4" fontId="5" fillId="3" borderId="1" applyAlignment="1" pivotButton="0" quotePrefix="0" xfId="0">
      <alignment horizontal="center" vertical="center" wrapText="1" readingOrder="2"/>
    </xf>
    <xf numFmtId="0" fontId="2" fillId="0" borderId="0" pivotButton="0" quotePrefix="0" xfId="0"/>
    <xf numFmtId="0" fontId="5" fillId="0" borderId="1" applyAlignment="1" pivotButton="0" quotePrefix="0" xfId="0">
      <alignment horizontal="right" vertical="top" wrapText="1" readingOrder="2"/>
    </xf>
    <xf numFmtId="4" fontId="5" fillId="0" borderId="1" applyAlignment="1" pivotButton="0" quotePrefix="0" xfId="0">
      <alignment horizontal="right" vertical="top" wrapText="1" readingOrder="2"/>
    </xf>
    <xf numFmtId="4" fontId="2" fillId="0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left" vertical="top"/>
    </xf>
    <xf numFmtId="0" fontId="3" fillId="0" borderId="0" pivotButton="0" quotePrefix="0" xfId="0"/>
    <xf numFmtId="9" fontId="5" fillId="3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center" vertical="center" wrapText="1" readingOrder="2"/>
    </xf>
    <xf numFmtId="4" fontId="7" fillId="0" borderId="1" applyAlignment="1" pivotButton="0" quotePrefix="0" xfId="0">
      <alignment horizontal="center" vertical="center" wrapText="1" readingOrder="2"/>
    </xf>
    <xf numFmtId="164" fontId="2" fillId="0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H3" authorId="0" shapeId="0">
      <text>
        <t>السعر المنشور ÷ (1 + نسبة KDV المشمولة في صفحة المقارنة) ÷ عدد القطع. الافتراض الحالي: السعر غير شامل KDV.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maxiambalaj.com/toptan-strec-film" TargetMode="External" Id="rId1" /><Relationship Type="http://schemas.openxmlformats.org/officeDocument/2006/relationships/hyperlink" Target="https://www.maxiambalaj.com/toptan-strec-film" TargetMode="External" Id="rId2" /><Relationship Type="http://schemas.openxmlformats.org/officeDocument/2006/relationships/hyperlink" Target="https://www.maxiambalaj.com/toptan-strec-film" TargetMode="External" Id="rId3" /><Relationship Type="http://schemas.openxmlformats.org/officeDocument/2006/relationships/hyperlink" Target="https://metroambalaj.com/collections/strec-ve-koli-bandi" TargetMode="External" Id="rId4" /><Relationship Type="http://schemas.openxmlformats.org/officeDocument/2006/relationships/hyperlink" Target="https://metroambalaj.com/collections/strec-ve-koli-bandi" TargetMode="External" Id="rId5" /><Relationship Type="http://schemas.openxmlformats.org/officeDocument/2006/relationships/hyperlink" Target="https://metroambalaj.com/collections/strec-ve-koli-bandi" TargetMode="External" Id="rId6" /><Relationship Type="http://schemas.openxmlformats.org/officeDocument/2006/relationships/hyperlink" Target="https://hamidiyeambalaj.com/palet-strec-film/" TargetMode="External" Id="rId7" /><Relationship Type="http://schemas.openxmlformats.org/officeDocument/2006/relationships/hyperlink" Target="https://hamidiyeambalaj.com/palet-strec-film/" TargetMode="External" Id="rId8" /><Relationship Type="http://schemas.openxmlformats.org/officeDocument/2006/relationships/hyperlink" Target="https://hamidiyeambalaj.com/palet-strec-film/" TargetMode="External" Id="rId9" /><Relationship Type="http://schemas.openxmlformats.org/officeDocument/2006/relationships/hyperlink" Target="https://hamidiyeambalaj.com/palet-strec-film/" TargetMode="External" Id="rId10" /><Relationship Type="http://schemas.openxmlformats.org/officeDocument/2006/relationships/hyperlink" Target="https://hamidiyeambalaj.com/palet-strec-film/" TargetMode="External" Id="rId11" /><Relationship Type="http://schemas.openxmlformats.org/officeDocument/2006/relationships/hyperlink" Target="https://hamidiyeambalaj.com/koli-bandi/" TargetMode="External" Id="rId12" /><Relationship Type="http://schemas.openxmlformats.org/officeDocument/2006/relationships/hyperlink" Target="https://hamidiyeambalaj.com/koli-bandi/" TargetMode="External" Id="rId13" /><Relationship Type="http://schemas.openxmlformats.org/officeDocument/2006/relationships/hyperlink" Target="https://hamidiyeambalaj.com/koli-bandi/" TargetMode="External" Id="rId14" /><Relationship Type="http://schemas.openxmlformats.org/officeDocument/2006/relationships/hyperlink" Target="https://hamidiyeambalaj.com/koli-bandi/" TargetMode="External" Id="rId15" /><Relationship Type="http://schemas.openxmlformats.org/officeDocument/2006/relationships/hyperlink" Target="https://hamidiyeambalaj.com/koli-bandi/" TargetMode="External" Id="rId16" /><Relationship Type="http://schemas.openxmlformats.org/officeDocument/2006/relationships/hyperlink" Target="https://hamidiyeambalaj.com/koli-bandi/" TargetMode="External" Id="rId17" /><Relationship Type="http://schemas.openxmlformats.org/officeDocument/2006/relationships/hyperlink" Target="https://hamidiyeambalaj.com/balonlu-ambalaj-naylonu-100-cm-50-m-30-gr-P780" TargetMode="External" Id="rId18" /><Relationship Type="http://schemas.openxmlformats.org/officeDocument/2006/relationships/hyperlink" Target="https://hamidiyeambalaj.com/balonlu-ambalaj-naylonu-150-cm-50-m-30-gr-P781" TargetMode="External" Id="rId19" /><Relationship Type="http://schemas.openxmlformats.org/officeDocument/2006/relationships/hyperlink" Target="https://hamidiyeambalaj.com/ara-kalite-balonlu-naylon-100-cm-50-metre-110-gr-P764" TargetMode="External" Id="rId20" /><Relationship Type="http://schemas.openxmlformats.org/officeDocument/2006/relationships/hyperlink" Target="https://hamidiyeambalaj.com/kose-kartonu-kosebent-kraft-karton-5x5x200-cm-P766" TargetMode="External" Id="rId21" /><Relationship Type="http://schemas.openxmlformats.org/officeDocument/2006/relationships/hyperlink" Target="https://hamidiyeambalaj.com/30-cm-300-metre-8-micron-gida-streci-P867" TargetMode="External" Id="rId22" /><Relationship Type="http://schemas.openxmlformats.org/officeDocument/2006/relationships/hyperlink" Target="https://www.kralbant.com/index.php?route=product/category&amp;path=30" TargetMode="External" Id="rId23" /><Relationship Type="http://schemas.openxmlformats.org/officeDocument/2006/relationships/hyperlink" Target="https://www.kralbant.com/index.php?route=product/category&amp;path=30" TargetMode="External" Id="rId24" /><Relationship Type="http://schemas.openxmlformats.org/officeDocument/2006/relationships/hyperlink" Target="https://www.kralbant.com/index.php?route=product/category&amp;path=30" TargetMode="External" Id="rId25" /><Relationship Type="http://schemas.openxmlformats.org/officeDocument/2006/relationships/hyperlink" Target="https://www.kralbant.com/index.php?route=product/category&amp;path=30" TargetMode="External" Id="rId2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akvaambalaj.com/" TargetMode="External" Id="rId1" /><Relationship Type="http://schemas.openxmlformats.org/officeDocument/2006/relationships/hyperlink" Target="https://www.kiriktas.com.tr/" TargetMode="External" Id="rId2" /><Relationship Type="http://schemas.openxmlformats.org/officeDocument/2006/relationships/hyperlink" Target="https://www.damraambalaj.com.tr/" TargetMode="External" Id="rId3" /><Relationship Type="http://schemas.openxmlformats.org/officeDocument/2006/relationships/hyperlink" Target="https://www.ileribant.com/" TargetMode="External" Id="rId4" /><Relationship Type="http://schemas.openxmlformats.org/officeDocument/2006/relationships/hyperlink" Target="https://www.sarcina.com.tr/" TargetMode="External" Id="rId5" /><Relationship Type="http://schemas.openxmlformats.org/officeDocument/2006/relationships/hyperlink" Target="https://ackplastik.com/" TargetMode="External" Id="rId6" /><Relationship Type="http://schemas.openxmlformats.org/officeDocument/2006/relationships/hyperlink" Target="https://www.paksanbant.com/" TargetMode="External" Id="rId7" /><Relationship Type="http://schemas.openxmlformats.org/officeDocument/2006/relationships/hyperlink" Target="https://www.akbrella.com.tr/" TargetMode="External" Id="rId8" /><Relationship Type="http://schemas.openxmlformats.org/officeDocument/2006/relationships/hyperlink" Target="https://www.furkanplastik.com/" TargetMode="External" Id="rId9" /><Relationship Type="http://schemas.openxmlformats.org/officeDocument/2006/relationships/hyperlink" Target="https://www.kolici.com/" TargetMode="External" Id="rId10" /><Relationship Type="http://schemas.openxmlformats.org/officeDocument/2006/relationships/hyperlink" Target="https://www.toptanstrec.com/" TargetMode="External" Id="rId11" /><Relationship Type="http://schemas.openxmlformats.org/officeDocument/2006/relationships/hyperlink" Target="https://hamidiyeambalaj.com/" TargetMode="External" Id="rId12" /><Relationship Type="http://schemas.openxmlformats.org/officeDocument/2006/relationships/hyperlink" Target="https://www.maxiambalaj.com/" TargetMode="External" Id="rId13" /><Relationship Type="http://schemas.openxmlformats.org/officeDocument/2006/relationships/hyperlink" Target="https://www.kralbant.com/" TargetMode="External" Id="rId14" /><Relationship Type="http://schemas.openxmlformats.org/officeDocument/2006/relationships/hyperlink" Target="https://metroambalaj.com/" TargetMode="External" Id="rId15" /><Relationship Type="http://schemas.openxmlformats.org/officeDocument/2006/relationships/hyperlink" Target="https://kolibul.com/" TargetMode="External" Id="rId16" /><Relationship Type="http://schemas.openxmlformats.org/officeDocument/2006/relationships/hyperlink" Target="https://www.erpakambalaj.com/" TargetMode="External" Id="rId17" /><Relationship Type="http://schemas.openxmlformats.org/officeDocument/2006/relationships/hyperlink" Target="http://www.sebant.com.tr/" TargetMode="External" Id="rId18" /><Relationship Type="http://schemas.openxmlformats.org/officeDocument/2006/relationships/hyperlink" Target="https://sakuraambalaj.com/" TargetMode="External" Id="rId19" /><Relationship Type="http://schemas.openxmlformats.org/officeDocument/2006/relationships/hyperlink" Target="https://www.plast.com.tr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جدول متابعة أسعار المنافسين: إسطنبول الأوروبية</t>
        </is>
      </c>
    </row>
    <row r="2">
      <c r="A2" s="2" t="inlineStr">
        <is>
          <t>أُنشئ في 29 أكتوبر 2026 من أسعار منشورة علنًا على مواقع المنافسين. ليس فيه أي بيانات سرية.</t>
        </is>
      </c>
    </row>
    <row r="3">
      <c r="A3" s="2" t="inlineStr"/>
    </row>
    <row r="4">
      <c r="A4" s="3" t="inlineStr">
        <is>
          <t>الصفحات</t>
        </is>
      </c>
    </row>
    <row r="5">
      <c r="A5" s="2" t="inlineStr">
        <is>
          <t>• الأصناف: 20 صنفًا أساسيًا. املأ العمود الأصفر "سعرنا بدون KDV" بسعر البيع عندكم (الوحدة المرجعية مكتوبة بجانب كل صنف).</t>
        </is>
      </c>
    </row>
    <row r="6">
      <c r="A6" s="2" t="inlineStr">
        <is>
          <t>• أسعار المنافسين: كل سعر تم رصده في سطر (التاريخ، المنافس، الصنف، السعر، عدد القطع في الباقة، الرابط). أضف أسطرًا جديدة في آخر الجدول كل شهر.</t>
        </is>
      </c>
    </row>
    <row r="7">
      <c r="A7" s="2" t="inlineStr">
        <is>
          <t>• المقارنة: تحسب وحدها (أقل سعر، المتوسط، أعلى سعر، وفرق سعركم عن الأقل). لا تعدّل فيها.</t>
        </is>
      </c>
    </row>
    <row r="8">
      <c r="A8" s="2" t="inlineStr">
        <is>
          <t>• المنافسون: قائمة بالشركات وأماكنها ونوعها (من ملف التحليل docs/competitor-analysis-2026-10-29.md).</t>
        </is>
      </c>
    </row>
    <row r="9">
      <c r="A9" s="2" t="inlineStr"/>
    </row>
    <row r="10">
      <c r="A10" s="3" t="inlineStr">
        <is>
          <t>طريقة التحديث الشهري (حوالي 30 دقيقة)</t>
        </is>
      </c>
    </row>
    <row r="11">
      <c r="A11" s="2" t="inlineStr">
        <is>
          <t>1) افتح روابط المصدر في صفحة "أسعار المنافسين" وسجّل السعر الجديد في سطر جديد بتاريخ اليوم (لا تمسح القديم لنرى التغيّر).</t>
        </is>
      </c>
    </row>
    <row r="12">
      <c r="A12" s="2" t="inlineStr">
        <is>
          <t>2) املأ سعركم في صفحة "الأصناف" إن تغيّر.</t>
        </is>
      </c>
    </row>
    <row r="13">
      <c r="A13" s="2" t="inlineStr">
        <is>
          <t>3) اقرأ صفحة "المقارنة": العمود "فرق سعرنا عن الأقل" بالنسبة المئوية؛ موجب = نحن أغلى.</t>
        </is>
      </c>
    </row>
    <row r="14">
      <c r="A14" s="2" t="inlineStr"/>
    </row>
    <row r="15">
      <c r="A15" s="3" t="inlineStr">
        <is>
          <t>مثال على المدخلات</t>
        </is>
      </c>
    </row>
    <row r="16">
      <c r="A16" s="2" t="inlineStr">
        <is>
          <t>في صفحة "الأصناف": الصنف S10 (Hotmelt 45x100): ضع في العمود الأصفر 52.00 يعني أن سعركم 52 ليرة للرول بدون KDV.</t>
        </is>
      </c>
    </row>
    <row r="17">
      <c r="A17" s="2" t="inlineStr">
        <is>
          <t>في صفحة "أسعار المنافسين": سطر جديد: 2026-11-29 | Hamidiye Ambalaj | S10 | 48.00 | عدد القطع 1 | رابط الصفحة.</t>
        </is>
      </c>
    </row>
    <row r="18">
      <c r="A18" s="2" t="inlineStr"/>
    </row>
    <row r="19">
      <c r="A19" s="3" t="inlineStr">
        <is>
          <t>تنبيهات مهمة عن جودة البيانات</t>
        </is>
      </c>
    </row>
    <row r="20">
      <c r="A20" s="2" t="inlineStr">
        <is>
          <t>• معظم المنافسين لا يذكرون إن كان السعر شاملًا KDV. الافتراض الحالي: غير شامل (خلية "نسبة KDV المشمولة" في صفحة المقارنة = 0%). إن تأكدت أن مواقعهم تعرض شاملًا KDV غيّرها إلى 20%.</t>
        </is>
      </c>
    </row>
    <row r="21">
      <c r="A21" s="2" t="inlineStr">
        <is>
          <t>• سطور عمود "تحقق؟" = نعم لا تدخل في المقارنة (أسعار Kral Bant: عدد القطع في الباقة غير واضح). تأكد منها هاتفيًا ثم امسح كلمة "نعم".</t>
        </is>
      </c>
    </row>
    <row r="22">
      <c r="A22" s="2" t="inlineStr">
        <is>
          <t>• عدة مواقع لا تعرض كل المقاسات، وبعض الأصناف المعروضة "غير متوفر" (Metro: 17 و20 ميكرون). السعر المنشور لا يعني توفر البضاعة.</t>
        </is>
      </c>
    </row>
    <row r="23">
      <c r="A23" s="2" t="inlineStr">
        <is>
          <t>• أسعار الجملة الحقيقية للعملاء الكبار غالبًا أقل من المنشور. هذه أسعار واجهة المتجر.</t>
        </is>
      </c>
    </row>
    <row r="24">
      <c r="A24" s="2" t="inlineStr">
        <is>
          <t>• المصنّعون (Akva، Sarcina، İleri Bant، ACK Plastik...) لا ينشرون أسعارًا، فلا يظهرون هنا.</t>
        </is>
      </c>
    </row>
    <row r="25">
      <c r="A25" s="2" t="inlineStr"/>
    </row>
    <row r="26">
      <c r="A26" s="2" t="inlineStr">
        <is>
          <t>اللون: خلفية صفراء = خلايا تملؤها أنت. خط أزرق = قيم مُدخلة. خط أسود = صيغ محسوبة.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52" customWidth="1" min="4" max="4"/>
    <col width="24" customWidth="1" min="5" max="5"/>
  </cols>
  <sheetData>
    <row r="1">
      <c r="A1" s="4" t="inlineStr">
        <is>
          <t>الأصناف الأساسية للمتابعة (20)</t>
        </is>
      </c>
    </row>
    <row r="3" ht="30" customHeight="1">
      <c r="A3" s="5" t="inlineStr">
        <is>
          <t>الرمز</t>
        </is>
      </c>
      <c r="B3" s="5" t="inlineStr">
        <is>
          <t>الصنف</t>
        </is>
      </c>
      <c r="C3" s="5" t="inlineStr">
        <is>
          <t>الوحدة المرجعية</t>
        </is>
      </c>
      <c r="D3" s="5" t="inlineStr">
        <is>
          <t>ملاحظة المقارنة</t>
        </is>
      </c>
      <c r="E3" s="5" t="inlineStr">
        <is>
          <t>سعرنا بدون KDV (ليرة)</t>
        </is>
      </c>
    </row>
    <row r="4">
      <c r="A4" s="6" t="inlineStr">
        <is>
          <t>S01</t>
        </is>
      </c>
      <c r="B4" s="6" t="inlineStr">
        <is>
          <t>Palet streç film 17 mikron, 50 cm x 300 m</t>
        </is>
      </c>
      <c r="C4" s="6" t="inlineStr">
        <is>
          <t>رول</t>
        </is>
      </c>
      <c r="D4" s="6" t="inlineStr">
        <is>
          <t>عرض 50 سم غير مذكور عند Maxi</t>
        </is>
      </c>
      <c r="E4" s="7" t="n"/>
    </row>
    <row r="5">
      <c r="A5" s="6" t="inlineStr">
        <is>
          <t>S02</t>
        </is>
      </c>
      <c r="B5" s="6" t="inlineStr">
        <is>
          <t>Palet streç film 20 mikron, 50 cm x 300 m</t>
        </is>
      </c>
      <c r="C5" s="6" t="inlineStr">
        <is>
          <t>رول</t>
        </is>
      </c>
      <c r="D5" s="6" t="inlineStr"/>
      <c r="E5" s="7" t="n"/>
    </row>
    <row r="6">
      <c r="A6" s="6" t="inlineStr">
        <is>
          <t>S03</t>
        </is>
      </c>
      <c r="B6" s="6" t="inlineStr">
        <is>
          <t>Palet streç film 23 mikron, 50 cm x 300 m</t>
        </is>
      </c>
      <c r="C6" s="6" t="inlineStr">
        <is>
          <t>رول</t>
        </is>
      </c>
      <c r="D6" s="6" t="inlineStr"/>
      <c r="E6" s="7" t="n"/>
    </row>
    <row r="7">
      <c r="A7" s="6" t="inlineStr">
        <is>
          <t>S04</t>
        </is>
      </c>
      <c r="B7" s="6" t="inlineStr">
        <is>
          <t>Palet streç film 23 mikron, 50 cm x 200 m (2.4 kg)</t>
        </is>
      </c>
      <c r="C7" s="6" t="inlineStr">
        <is>
          <t>رول</t>
        </is>
      </c>
      <c r="D7" s="6" t="inlineStr"/>
      <c r="E7" s="7" t="n"/>
    </row>
    <row r="8">
      <c r="A8" s="6" t="inlineStr">
        <is>
          <t>S05</t>
        </is>
      </c>
      <c r="B8" s="6" t="inlineStr">
        <is>
          <t>Palet streç film şeffaf 50 cm x 150 m</t>
        </is>
      </c>
      <c r="C8" s="6" t="inlineStr">
        <is>
          <t>رول</t>
        </is>
      </c>
      <c r="D8" s="6" t="inlineStr">
        <is>
          <t>سماكة غير مذكورة</t>
        </is>
      </c>
      <c r="E8" s="7" t="n"/>
    </row>
    <row r="9">
      <c r="A9" s="6" t="inlineStr">
        <is>
          <t>S06</t>
        </is>
      </c>
      <c r="B9" s="6" t="inlineStr">
        <is>
          <t>Siyah palet streç film 50 cm x 150 m</t>
        </is>
      </c>
      <c r="C9" s="6" t="inlineStr">
        <is>
          <t>رول</t>
        </is>
      </c>
      <c r="D9" s="6" t="inlineStr"/>
      <c r="E9" s="7" t="n"/>
    </row>
    <row r="10">
      <c r="A10" s="6" t="inlineStr">
        <is>
          <t>S07</t>
        </is>
      </c>
      <c r="B10" s="6" t="inlineStr">
        <is>
          <t>Dilimli streç film 10 cm x 150-200 m</t>
        </is>
      </c>
      <c r="C10" s="6" t="inlineStr">
        <is>
          <t>رول</t>
        </is>
      </c>
      <c r="D10" s="6" t="inlineStr">
        <is>
          <t>الطول يختلف حسب المنافس</t>
        </is>
      </c>
      <c r="E10" s="7" t="n"/>
    </row>
    <row r="11">
      <c r="A11" s="6" t="inlineStr">
        <is>
          <t>S08</t>
        </is>
      </c>
      <c r="B11" s="6" t="inlineStr">
        <is>
          <t>Dilimli streç film 25 cm x 150-200 m</t>
        </is>
      </c>
      <c r="C11" s="6" t="inlineStr">
        <is>
          <t>رول</t>
        </is>
      </c>
      <c r="D11" s="6" t="inlineStr">
        <is>
          <t>الطول يختلف حسب المنافس</t>
        </is>
      </c>
      <c r="E11" s="7" t="n"/>
    </row>
    <row r="12">
      <c r="A12" s="6" t="inlineStr">
        <is>
          <t>S09</t>
        </is>
      </c>
      <c r="B12" s="6" t="inlineStr">
        <is>
          <t>Streç film 17 mikron, 50 cm x 200 m</t>
        </is>
      </c>
      <c r="C12" s="6" t="inlineStr">
        <is>
          <t>رول</t>
        </is>
      </c>
      <c r="D12" s="6" t="inlineStr"/>
      <c r="E12" s="7" t="n"/>
    </row>
    <row r="13">
      <c r="A13" s="6" t="inlineStr">
        <is>
          <t>S10</t>
        </is>
      </c>
      <c r="B13" s="6" t="inlineStr">
        <is>
          <t>Hotmelt koli bandı 45 mm x 100 m</t>
        </is>
      </c>
      <c r="C13" s="6" t="inlineStr">
        <is>
          <t>رول</t>
        </is>
      </c>
      <c r="D13" s="6" t="inlineStr">
        <is>
          <t>معظم المنافسين: Klas أو مشابه</t>
        </is>
      </c>
      <c r="E13" s="7" t="n"/>
    </row>
    <row r="14">
      <c r="A14" s="6" t="inlineStr">
        <is>
          <t>S11</t>
        </is>
      </c>
      <c r="B14" s="6" t="inlineStr">
        <is>
          <t>Akrilik koli bandı 45 mm x 100 m</t>
        </is>
      </c>
      <c r="C14" s="6" t="inlineStr">
        <is>
          <t>رول</t>
        </is>
      </c>
      <c r="D14" s="6" t="inlineStr"/>
      <c r="E14" s="7" t="n"/>
    </row>
    <row r="15">
      <c r="A15" s="6" t="inlineStr">
        <is>
          <t>S12</t>
        </is>
      </c>
      <c r="B15" s="6" t="inlineStr">
        <is>
          <t>Hotmelt koli bandı 60 mm x 100 m</t>
        </is>
      </c>
      <c r="C15" s="6" t="inlineStr">
        <is>
          <t>رول</t>
        </is>
      </c>
      <c r="D15" s="6" t="inlineStr"/>
      <c r="E15" s="7" t="n"/>
    </row>
    <row r="16">
      <c r="A16" s="6" t="inlineStr">
        <is>
          <t>S13</t>
        </is>
      </c>
      <c r="B16" s="6" t="inlineStr">
        <is>
          <t>Hotmelt koli bandı 70 mm x 100 m</t>
        </is>
      </c>
      <c r="C16" s="6" t="inlineStr">
        <is>
          <t>رول</t>
        </is>
      </c>
      <c r="D16" s="6" t="inlineStr"/>
      <c r="E16" s="7" t="n"/>
    </row>
    <row r="17">
      <c r="A17" s="6" t="inlineStr">
        <is>
          <t>S14</t>
        </is>
      </c>
      <c r="B17" s="6" t="inlineStr">
        <is>
          <t>Hotmelt makina bandı 45 mm x 600 m</t>
        </is>
      </c>
      <c r="C17" s="6" t="inlineStr">
        <is>
          <t>رول</t>
        </is>
      </c>
      <c r="D17" s="6" t="inlineStr">
        <is>
          <t>لخطوط التغليف الآلية</t>
        </is>
      </c>
      <c r="E17" s="7" t="n"/>
    </row>
    <row r="18">
      <c r="A18" s="6" t="inlineStr">
        <is>
          <t>S15</t>
        </is>
      </c>
      <c r="B18" s="6" t="inlineStr">
        <is>
          <t>Maskeleme bandı 48 mm x 25 m</t>
        </is>
      </c>
      <c r="C18" s="6" t="inlineStr">
        <is>
          <t>رول</t>
        </is>
      </c>
      <c r="D18" s="6" t="inlineStr"/>
      <c r="E18" s="7" t="n"/>
    </row>
    <row r="19">
      <c r="A19" s="6" t="inlineStr">
        <is>
          <t>S16</t>
        </is>
      </c>
      <c r="B19" s="6" t="inlineStr">
        <is>
          <t>Balonlu naylon 100 cm x 50 m, 30 gr/m2</t>
        </is>
      </c>
      <c r="C19" s="6" t="inlineStr">
        <is>
          <t>رول</t>
        </is>
      </c>
      <c r="D19" s="6" t="inlineStr"/>
      <c r="E19" s="7" t="n"/>
    </row>
    <row r="20">
      <c r="A20" s="6" t="inlineStr">
        <is>
          <t>S17</t>
        </is>
      </c>
      <c r="B20" s="6" t="inlineStr">
        <is>
          <t>Balonlu naylon 150 cm x 50 m, 30 gr/m2</t>
        </is>
      </c>
      <c r="C20" s="6" t="inlineStr">
        <is>
          <t>رول</t>
        </is>
      </c>
      <c r="D20" s="6" t="inlineStr"/>
      <c r="E20" s="7" t="n"/>
    </row>
    <row r="21">
      <c r="A21" s="6" t="inlineStr">
        <is>
          <t>S18</t>
        </is>
      </c>
      <c r="B21" s="6" t="inlineStr">
        <is>
          <t>Balonlu naylon 100 cm x 50 m, 110 gr/m2 (ara kalite)</t>
        </is>
      </c>
      <c r="C21" s="6" t="inlineStr">
        <is>
          <t>رول</t>
        </is>
      </c>
      <c r="D21" s="6" t="inlineStr">
        <is>
          <t>الوزن الثقيل، سعر غير معتاد</t>
        </is>
      </c>
      <c r="E21" s="7" t="n"/>
    </row>
    <row r="22">
      <c r="A22" s="6" t="inlineStr">
        <is>
          <t>S19</t>
        </is>
      </c>
      <c r="B22" s="6" t="inlineStr">
        <is>
          <t>Karton köşebent kraft 5x5x200 cm, 5 mm</t>
        </is>
      </c>
      <c r="C22" s="6" t="inlineStr">
        <is>
          <t>قطعة</t>
        </is>
      </c>
      <c r="D22" s="6" t="inlineStr">
        <is>
          <t>يُباع بحزمة 25 قطعة عند Hamidiye</t>
        </is>
      </c>
      <c r="E22" s="7" t="n"/>
    </row>
    <row r="23">
      <c r="A23" s="6" t="inlineStr">
        <is>
          <t>S20</t>
        </is>
      </c>
      <c r="B23" s="6" t="inlineStr">
        <is>
          <t>Gıda streci 30 cm x 300 m, 8 mikron</t>
        </is>
      </c>
      <c r="C23" s="6" t="inlineStr">
        <is>
          <t>رول</t>
        </is>
      </c>
      <c r="D23" s="6" t="inlineStr"/>
      <c r="E23" s="7" t="n"/>
    </row>
    <row r="25">
      <c r="A25" s="8" t="inlineStr">
        <is>
          <t>خلايا العمود الأصفر فارغة عمدًا: اكتبوا أسعاركم الحالية. لا نعرف سعر البيع عندكم ولم نأخذه من أي ملف.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50" customWidth="1" min="4" max="4"/>
    <col width="16" customWidth="1" min="5" max="5"/>
    <col width="14" customWidth="1" min="6" max="6"/>
    <col width="9" customWidth="1" min="7" max="7"/>
    <col width="20" customWidth="1" min="8" max="8"/>
    <col width="40" customWidth="1" min="9" max="9"/>
    <col width="60" customWidth="1" min="10" max="10"/>
  </cols>
  <sheetData>
    <row r="1">
      <c r="A1" s="4" t="inlineStr">
        <is>
          <t>الأسعار المنشورة علنًا (أضف سطرًا جديدًا في كل تحديث)</t>
        </is>
      </c>
    </row>
    <row r="3" ht="30" customHeight="1">
      <c r="A3" s="5" t="inlineStr">
        <is>
          <t>التاريخ</t>
        </is>
      </c>
      <c r="B3" s="5" t="inlineStr">
        <is>
          <t>المنافس</t>
        </is>
      </c>
      <c r="C3" s="5" t="inlineStr">
        <is>
          <t>الرمز</t>
        </is>
      </c>
      <c r="D3" s="5" t="inlineStr">
        <is>
          <t>الصنف كما ظهر عندهم</t>
        </is>
      </c>
      <c r="E3" s="5" t="inlineStr">
        <is>
          <t>السعر المنشور (ليرة)</t>
        </is>
      </c>
      <c r="F3" s="5" t="inlineStr">
        <is>
          <t>عدد القطع في السعر</t>
        </is>
      </c>
      <c r="G3" s="5" t="inlineStr">
        <is>
          <t>تحقق؟</t>
        </is>
      </c>
      <c r="H3" s="5" t="inlineStr">
        <is>
          <t>السعر للقطعة بدون KDV</t>
        </is>
      </c>
      <c r="I3" s="5" t="inlineStr">
        <is>
          <t>سعر قديم/ملاحظة</t>
        </is>
      </c>
      <c r="J3" s="5" t="inlineStr">
        <is>
          <t>رابط المصدر</t>
        </is>
      </c>
    </row>
    <row r="4">
      <c r="A4" s="9" t="inlineStr">
        <is>
          <t>2026-10-29</t>
        </is>
      </c>
      <c r="B4" s="9" t="inlineStr">
        <is>
          <t>Maxi Ambalaj (Marmara Koli)</t>
        </is>
      </c>
      <c r="C4" s="9" t="inlineStr">
        <is>
          <t>S01</t>
        </is>
      </c>
      <c r="D4" s="9" t="inlineStr">
        <is>
          <t>STREC FILM 17 MIKRON 300 metre</t>
        </is>
      </c>
      <c r="E4" s="10" t="n">
        <v>454.23</v>
      </c>
      <c r="F4" s="9" t="n">
        <v>1</v>
      </c>
      <c r="G4" s="9" t="inlineStr"/>
      <c r="H4" s="11">
        <f>IF(AND(ISNUMBER(E4),ISNUMBER(F4),F4&gt;0),E4/(1+'المقارنة'!$C$2)/F4,"")</f>
        <v/>
      </c>
      <c r="I4" s="6" t="inlineStr">
        <is>
          <t>قديم 714.65 (خصم). العرض غير مذكور</t>
        </is>
      </c>
      <c r="J4" s="12" t="inlineStr">
        <is>
          <t>https://www.maxiambalaj.com/toptan-strec-film</t>
        </is>
      </c>
    </row>
    <row r="5">
      <c r="A5" s="9" t="inlineStr">
        <is>
          <t>2026-10-29</t>
        </is>
      </c>
      <c r="B5" s="9" t="inlineStr">
        <is>
          <t>Maxi Ambalaj (Marmara Koli)</t>
        </is>
      </c>
      <c r="C5" s="9" t="inlineStr">
        <is>
          <t>S10</t>
        </is>
      </c>
      <c r="D5" s="9" t="inlineStr">
        <is>
          <t>45x100 KOLI BANDI (Hotmelt)</t>
        </is>
      </c>
      <c r="E5" s="10" t="n">
        <v>73.28</v>
      </c>
      <c r="F5" s="9" t="n">
        <v>1</v>
      </c>
      <c r="G5" s="9" t="inlineStr"/>
      <c r="H5" s="11">
        <f>IF(AND(ISNUMBER(E5),ISNUMBER(F5),F5&gt;0),E5/(1+'المقارنة'!$C$2)/F5,"")</f>
        <v/>
      </c>
      <c r="I5" s="6" t="inlineStr">
        <is>
          <t>قديم 78.82. شحن مجاني</t>
        </is>
      </c>
      <c r="J5" s="12" t="inlineStr">
        <is>
          <t>https://www.maxiambalaj.com/toptan-strec-film</t>
        </is>
      </c>
    </row>
    <row r="6">
      <c r="A6" s="9" t="inlineStr">
        <is>
          <t>2026-10-29</t>
        </is>
      </c>
      <c r="B6" s="9" t="inlineStr">
        <is>
          <t>Maxi Ambalaj (Marmara Koli)</t>
        </is>
      </c>
      <c r="C6" s="9" t="inlineStr">
        <is>
          <t>S11</t>
        </is>
      </c>
      <c r="D6" s="9" t="inlineStr">
        <is>
          <t>45x100 KOLI BANDI (Akrilik)</t>
        </is>
      </c>
      <c r="E6" s="10" t="n">
        <v>37.51</v>
      </c>
      <c r="F6" s="9" t="n">
        <v>1</v>
      </c>
      <c r="G6" s="9" t="inlineStr"/>
      <c r="H6" s="11">
        <f>IF(AND(ISNUMBER(E6),ISNUMBER(F6),F6&gt;0),E6/(1+'المقارنة'!$C$2)/F6,"")</f>
        <v/>
      </c>
      <c r="I6" s="6" t="inlineStr">
        <is>
          <t>قديم 39.00. شحن مجاني</t>
        </is>
      </c>
      <c r="J6" s="12" t="inlineStr">
        <is>
          <t>https://www.maxiambalaj.com/toptan-strec-film</t>
        </is>
      </c>
    </row>
    <row r="7">
      <c r="A7" s="9" t="inlineStr">
        <is>
          <t>2026-10-29</t>
        </is>
      </c>
      <c r="B7" s="9" t="inlineStr">
        <is>
          <t>Metro Ambalaj</t>
        </is>
      </c>
      <c r="C7" s="9" t="inlineStr">
        <is>
          <t>S01</t>
        </is>
      </c>
      <c r="D7" s="9" t="inlineStr">
        <is>
          <t>Palet Strec Film 17 Micron 300 Metre</t>
        </is>
      </c>
      <c r="E7" s="10" t="n">
        <v>358.15</v>
      </c>
      <c r="F7" s="9" t="n">
        <v>1</v>
      </c>
      <c r="G7" s="9" t="inlineStr"/>
      <c r="H7" s="11">
        <f>IF(AND(ISNUMBER(E7),ISNUMBER(F7),F7&gt;0),E7/(1+'المقارنة'!$C$2)/F7,"")</f>
        <v/>
      </c>
      <c r="I7" s="6" t="inlineStr">
        <is>
          <t>رول 50 سم. المخزون: غير متوفر وقت الرصد</t>
        </is>
      </c>
      <c r="J7" s="12" t="inlineStr">
        <is>
          <t>https://metroambalaj.com/collections/strec-ve-koli-bandi</t>
        </is>
      </c>
    </row>
    <row r="8">
      <c r="A8" s="9" t="inlineStr">
        <is>
          <t>2026-10-29</t>
        </is>
      </c>
      <c r="B8" s="9" t="inlineStr">
        <is>
          <t>Metro Ambalaj</t>
        </is>
      </c>
      <c r="C8" s="9" t="inlineStr">
        <is>
          <t>S02</t>
        </is>
      </c>
      <c r="D8" s="9" t="inlineStr">
        <is>
          <t>Palet Strec Film 20 Micron 300 Metre</t>
        </is>
      </c>
      <c r="E8" s="10" t="n">
        <v>370.76</v>
      </c>
      <c r="F8" s="9" t="n">
        <v>1</v>
      </c>
      <c r="G8" s="9" t="inlineStr"/>
      <c r="H8" s="11">
        <f>IF(AND(ISNUMBER(E8),ISNUMBER(F8),F8&gt;0),E8/(1+'المقارنة'!$C$2)/F8,"")</f>
        <v/>
      </c>
      <c r="I8" s="6" t="inlineStr">
        <is>
          <t>رول 50 سم. غير متوفر وقت الرصد</t>
        </is>
      </c>
      <c r="J8" s="12" t="inlineStr">
        <is>
          <t>https://metroambalaj.com/collections/strec-ve-koli-bandi</t>
        </is>
      </c>
    </row>
    <row r="9">
      <c r="A9" s="9" t="inlineStr">
        <is>
          <t>2026-10-29</t>
        </is>
      </c>
      <c r="B9" s="9" t="inlineStr">
        <is>
          <t>Metro Ambalaj</t>
        </is>
      </c>
      <c r="C9" s="9" t="inlineStr">
        <is>
          <t>S03</t>
        </is>
      </c>
      <c r="D9" s="9" t="inlineStr">
        <is>
          <t>Palet Strec Film 23 Micron 300 Metre</t>
        </is>
      </c>
      <c r="E9" s="10" t="n">
        <v>424.58</v>
      </c>
      <c r="F9" s="9" t="n">
        <v>1</v>
      </c>
      <c r="G9" s="9" t="inlineStr"/>
      <c r="H9" s="11">
        <f>IF(AND(ISNUMBER(E9),ISNUMBER(F9),F9&gt;0),E9/(1+'المقارنة'!$C$2)/F9,"")</f>
        <v/>
      </c>
      <c r="I9" s="6" t="inlineStr">
        <is>
          <t>رول 50 سم</t>
        </is>
      </c>
      <c r="J9" s="12" t="inlineStr">
        <is>
          <t>https://metroambalaj.com/collections/strec-ve-koli-bandi</t>
        </is>
      </c>
    </row>
    <row r="10">
      <c r="A10" s="9" t="inlineStr">
        <is>
          <t>2026-10-29</t>
        </is>
      </c>
      <c r="B10" s="9" t="inlineStr">
        <is>
          <t>Hamidiye Ambalaj</t>
        </is>
      </c>
      <c r="C10" s="9" t="inlineStr">
        <is>
          <t>S04</t>
        </is>
      </c>
      <c r="D10" s="9" t="inlineStr">
        <is>
          <t>50 cm 2400 Gr (200 Metre) Palet Seffaf Strec Film 23 Micron</t>
        </is>
      </c>
      <c r="E10" s="10" t="n">
        <v>265</v>
      </c>
      <c r="F10" s="9" t="n">
        <v>1</v>
      </c>
      <c r="G10" s="9" t="inlineStr"/>
      <c r="H10" s="11">
        <f>IF(AND(ISNUMBER(E10),ISNUMBER(F10),F10&gt;0),E10/(1+'المقارنة'!$C$2)/F10,"")</f>
        <v/>
      </c>
      <c r="I10" s="6" t="inlineStr"/>
      <c r="J10" s="12" t="inlineStr">
        <is>
          <t>https://hamidiyeambalaj.com/palet-strec-film/</t>
        </is>
      </c>
    </row>
    <row r="11">
      <c r="A11" s="9" t="inlineStr">
        <is>
          <t>2026-10-29</t>
        </is>
      </c>
      <c r="B11" s="9" t="inlineStr">
        <is>
          <t>Hamidiye Ambalaj</t>
        </is>
      </c>
      <c r="C11" s="9" t="inlineStr">
        <is>
          <t>S05</t>
        </is>
      </c>
      <c r="D11" s="9" t="inlineStr">
        <is>
          <t>Palet Strec Film 50 cm x 150 m</t>
        </is>
      </c>
      <c r="E11" s="10" t="n">
        <v>190</v>
      </c>
      <c r="F11" s="9" t="n">
        <v>1</v>
      </c>
      <c r="G11" s="9" t="inlineStr"/>
      <c r="H11" s="11">
        <f>IF(AND(ISNUMBER(E11),ISNUMBER(F11),F11&gt;0),E11/(1+'المقارنة'!$C$2)/F11,"")</f>
        <v/>
      </c>
      <c r="I11" s="6" t="inlineStr"/>
      <c r="J11" s="12" t="inlineStr">
        <is>
          <t>https://hamidiyeambalaj.com/palet-strec-film/</t>
        </is>
      </c>
    </row>
    <row r="12">
      <c r="A12" s="9" t="inlineStr">
        <is>
          <t>2026-10-29</t>
        </is>
      </c>
      <c r="B12" s="9" t="inlineStr">
        <is>
          <t>Hamidiye Ambalaj</t>
        </is>
      </c>
      <c r="C12" s="9" t="inlineStr">
        <is>
          <t>S06</t>
        </is>
      </c>
      <c r="D12" s="9" t="inlineStr">
        <is>
          <t>Siyah Palet Strec Film 50 cm x 150 m</t>
        </is>
      </c>
      <c r="E12" s="10" t="n">
        <v>230</v>
      </c>
      <c r="F12" s="9" t="n">
        <v>1</v>
      </c>
      <c r="G12" s="9" t="inlineStr"/>
      <c r="H12" s="11">
        <f>IF(AND(ISNUMBER(E12),ISNUMBER(F12),F12&gt;0),E12/(1+'المقارنة'!$C$2)/F12,"")</f>
        <v/>
      </c>
      <c r="I12" s="6" t="inlineStr"/>
      <c r="J12" s="12" t="inlineStr">
        <is>
          <t>https://hamidiyeambalaj.com/palet-strec-film/</t>
        </is>
      </c>
    </row>
    <row r="13">
      <c r="A13" s="9" t="inlineStr">
        <is>
          <t>2026-10-29</t>
        </is>
      </c>
      <c r="B13" s="9" t="inlineStr">
        <is>
          <t>Hamidiye Ambalaj</t>
        </is>
      </c>
      <c r="C13" s="9" t="inlineStr">
        <is>
          <t>S07</t>
        </is>
      </c>
      <c r="D13" s="9" t="inlineStr">
        <is>
          <t>Palet Strec Film 10 cm x 150 m</t>
        </is>
      </c>
      <c r="E13" s="10" t="n">
        <v>50</v>
      </c>
      <c r="F13" s="9" t="n">
        <v>1</v>
      </c>
      <c r="G13" s="9" t="inlineStr"/>
      <c r="H13" s="11">
        <f>IF(AND(ISNUMBER(E13),ISNUMBER(F13),F13&gt;0),E13/(1+'المقارنة'!$C$2)/F13,"")</f>
        <v/>
      </c>
      <c r="I13" s="6" t="inlineStr"/>
      <c r="J13" s="12" t="inlineStr">
        <is>
          <t>https://hamidiyeambalaj.com/palet-strec-film/</t>
        </is>
      </c>
    </row>
    <row r="14">
      <c r="A14" s="9" t="inlineStr">
        <is>
          <t>2026-10-29</t>
        </is>
      </c>
      <c r="B14" s="9" t="inlineStr">
        <is>
          <t>Hamidiye Ambalaj</t>
        </is>
      </c>
      <c r="C14" s="9" t="inlineStr">
        <is>
          <t>S08</t>
        </is>
      </c>
      <c r="D14" s="9" t="inlineStr">
        <is>
          <t>Palet Strec Film 25 cm x 150 m</t>
        </is>
      </c>
      <c r="E14" s="10" t="n">
        <v>120</v>
      </c>
      <c r="F14" s="9" t="n">
        <v>1</v>
      </c>
      <c r="G14" s="9" t="inlineStr"/>
      <c r="H14" s="11">
        <f>IF(AND(ISNUMBER(E14),ISNUMBER(F14),F14&gt;0),E14/(1+'المقارنة'!$C$2)/F14,"")</f>
        <v/>
      </c>
      <c r="I14" s="6" t="inlineStr"/>
      <c r="J14" s="12" t="inlineStr">
        <is>
          <t>https://hamidiyeambalaj.com/palet-strec-film/</t>
        </is>
      </c>
    </row>
    <row r="15">
      <c r="A15" s="9" t="inlineStr">
        <is>
          <t>2026-10-29</t>
        </is>
      </c>
      <c r="B15" s="9" t="inlineStr">
        <is>
          <t>Hamidiye Ambalaj</t>
        </is>
      </c>
      <c r="C15" s="9" t="inlineStr">
        <is>
          <t>S10</t>
        </is>
      </c>
      <c r="D15" s="9" t="inlineStr">
        <is>
          <t>Klas 45x100 Metre Hotmelt Koli Bandi</t>
        </is>
      </c>
      <c r="E15" s="10" t="n">
        <v>46</v>
      </c>
      <c r="F15" s="9" t="n">
        <v>1</v>
      </c>
      <c r="G15" s="9" t="inlineStr"/>
      <c r="H15" s="11">
        <f>IF(AND(ISNUMBER(E15),ISNUMBER(F15),F15&gt;0),E15/(1+'المقارنة'!$C$2)/F15,"")</f>
        <v/>
      </c>
      <c r="I15" s="6" t="inlineStr"/>
      <c r="J15" s="12" t="inlineStr">
        <is>
          <t>https://hamidiyeambalaj.com/koli-bandi/</t>
        </is>
      </c>
    </row>
    <row r="16">
      <c r="A16" s="9" t="inlineStr">
        <is>
          <t>2026-10-29</t>
        </is>
      </c>
      <c r="B16" s="9" t="inlineStr">
        <is>
          <t>Hamidiye Ambalaj</t>
        </is>
      </c>
      <c r="C16" s="9" t="inlineStr">
        <is>
          <t>S11</t>
        </is>
      </c>
      <c r="D16" s="9" t="inlineStr">
        <is>
          <t>45x100 Metre Akrilik Koli Bandi</t>
        </is>
      </c>
      <c r="E16" s="10" t="n">
        <v>40</v>
      </c>
      <c r="F16" s="9" t="n">
        <v>1</v>
      </c>
      <c r="G16" s="9" t="inlineStr"/>
      <c r="H16" s="11">
        <f>IF(AND(ISNUMBER(E16),ISNUMBER(F16),F16&gt;0),E16/(1+'المقارنة'!$C$2)/F16,"")</f>
        <v/>
      </c>
      <c r="I16" s="6" t="inlineStr"/>
      <c r="J16" s="12" t="inlineStr">
        <is>
          <t>https://hamidiyeambalaj.com/koli-bandi/</t>
        </is>
      </c>
    </row>
    <row r="17">
      <c r="A17" s="9" t="inlineStr">
        <is>
          <t>2026-10-29</t>
        </is>
      </c>
      <c r="B17" s="9" t="inlineStr">
        <is>
          <t>Hamidiye Ambalaj</t>
        </is>
      </c>
      <c r="C17" s="9" t="inlineStr">
        <is>
          <t>S12</t>
        </is>
      </c>
      <c r="D17" s="9" t="inlineStr">
        <is>
          <t>Klas 60x100 Metre Hotmelt Koli Bandi</t>
        </is>
      </c>
      <c r="E17" s="10" t="n">
        <v>70</v>
      </c>
      <c r="F17" s="9" t="n">
        <v>1</v>
      </c>
      <c r="G17" s="9" t="inlineStr"/>
      <c r="H17" s="11">
        <f>IF(AND(ISNUMBER(E17),ISNUMBER(F17),F17&gt;0),E17/(1+'المقارنة'!$C$2)/F17,"")</f>
        <v/>
      </c>
      <c r="I17" s="6" t="inlineStr"/>
      <c r="J17" s="12" t="inlineStr">
        <is>
          <t>https://hamidiyeambalaj.com/koli-bandi/</t>
        </is>
      </c>
    </row>
    <row r="18">
      <c r="A18" s="9" t="inlineStr">
        <is>
          <t>2026-10-29</t>
        </is>
      </c>
      <c r="B18" s="9" t="inlineStr">
        <is>
          <t>Hamidiye Ambalaj</t>
        </is>
      </c>
      <c r="C18" s="9" t="inlineStr">
        <is>
          <t>S13</t>
        </is>
      </c>
      <c r="D18" s="9" t="inlineStr">
        <is>
          <t>Klas 70x100 Metre Hotmelt Koli Bandi</t>
        </is>
      </c>
      <c r="E18" s="10" t="n">
        <v>82</v>
      </c>
      <c r="F18" s="9" t="n">
        <v>1</v>
      </c>
      <c r="G18" s="9" t="inlineStr"/>
      <c r="H18" s="11">
        <f>IF(AND(ISNUMBER(E18),ISNUMBER(F18),F18&gt;0),E18/(1+'المقارنة'!$C$2)/F18,"")</f>
        <v/>
      </c>
      <c r="I18" s="6" t="inlineStr"/>
      <c r="J18" s="12" t="inlineStr">
        <is>
          <t>https://hamidiyeambalaj.com/koli-bandi/</t>
        </is>
      </c>
    </row>
    <row r="19">
      <c r="A19" s="9" t="inlineStr">
        <is>
          <t>2026-10-29</t>
        </is>
      </c>
      <c r="B19" s="9" t="inlineStr">
        <is>
          <t>Hamidiye Ambalaj</t>
        </is>
      </c>
      <c r="C19" s="9" t="inlineStr">
        <is>
          <t>S14</t>
        </is>
      </c>
      <c r="D19" s="9" t="inlineStr">
        <is>
          <t>45x600 Hotmelt Makina Seffaf Koli Bandi</t>
        </is>
      </c>
      <c r="E19" s="10" t="n">
        <v>360</v>
      </c>
      <c r="F19" s="9" t="n">
        <v>1</v>
      </c>
      <c r="G19" s="9" t="inlineStr"/>
      <c r="H19" s="11">
        <f>IF(AND(ISNUMBER(E19),ISNUMBER(F19),F19&gt;0),E19/(1+'المقارنة'!$C$2)/F19,"")</f>
        <v/>
      </c>
      <c r="I19" s="6" t="inlineStr"/>
      <c r="J19" s="12" t="inlineStr">
        <is>
          <t>https://hamidiyeambalaj.com/koli-bandi/</t>
        </is>
      </c>
    </row>
    <row r="20">
      <c r="A20" s="9" t="inlineStr">
        <is>
          <t>2026-10-29</t>
        </is>
      </c>
      <c r="B20" s="9" t="inlineStr">
        <is>
          <t>Hamidiye Ambalaj</t>
        </is>
      </c>
      <c r="C20" s="9" t="inlineStr">
        <is>
          <t>S15</t>
        </is>
      </c>
      <c r="D20" s="9" t="inlineStr">
        <is>
          <t>48mm x 25 Metre Kagit Maskeleme Bandi</t>
        </is>
      </c>
      <c r="E20" s="10" t="n">
        <v>45</v>
      </c>
      <c r="F20" s="9" t="n">
        <v>1</v>
      </c>
      <c r="G20" s="9" t="inlineStr"/>
      <c r="H20" s="11">
        <f>IF(AND(ISNUMBER(E20),ISNUMBER(F20),F20&gt;0),E20/(1+'المقارنة'!$C$2)/F20,"")</f>
        <v/>
      </c>
      <c r="I20" s="6" t="inlineStr"/>
      <c r="J20" s="12" t="inlineStr">
        <is>
          <t>https://hamidiyeambalaj.com/koli-bandi/</t>
        </is>
      </c>
    </row>
    <row r="21">
      <c r="A21" s="9" t="inlineStr">
        <is>
          <t>2026-10-29</t>
        </is>
      </c>
      <c r="B21" s="9" t="inlineStr">
        <is>
          <t>Hamidiye Ambalaj</t>
        </is>
      </c>
      <c r="C21" s="9" t="inlineStr">
        <is>
          <t>S16</t>
        </is>
      </c>
      <c r="D21" s="9" t="inlineStr">
        <is>
          <t>Balonlu Ambalaj Naylonu 100 cm x 50 m 30 gr/m2</t>
        </is>
      </c>
      <c r="E21" s="10" t="n">
        <v>360</v>
      </c>
      <c r="F21" s="9" t="n">
        <v>1</v>
      </c>
      <c r="G21" s="9" t="inlineStr"/>
      <c r="H21" s="11">
        <f>IF(AND(ISNUMBER(E21),ISNUMBER(F21),F21&gt;0),E21/(1+'المقارنة'!$C$2)/F21,"")</f>
        <v/>
      </c>
      <c r="I21" s="6" t="inlineStr"/>
      <c r="J21" s="12" t="inlineStr">
        <is>
          <t>https://hamidiyeambalaj.com/balonlu-ambalaj-naylonu-100-cm-50-m-30-gr-P780</t>
        </is>
      </c>
    </row>
    <row r="22">
      <c r="A22" s="9" t="inlineStr">
        <is>
          <t>2026-10-29</t>
        </is>
      </c>
      <c r="B22" s="9" t="inlineStr">
        <is>
          <t>Hamidiye Ambalaj</t>
        </is>
      </c>
      <c r="C22" s="9" t="inlineStr">
        <is>
          <t>S17</t>
        </is>
      </c>
      <c r="D22" s="9" t="inlineStr">
        <is>
          <t>Balonlu Ambalaj Naylonu 150 cm x 50 m 30 gr/m2</t>
        </is>
      </c>
      <c r="E22" s="10" t="n">
        <v>575</v>
      </c>
      <c r="F22" s="9" t="n">
        <v>1</v>
      </c>
      <c r="G22" s="9" t="inlineStr"/>
      <c r="H22" s="11">
        <f>IF(AND(ISNUMBER(E22),ISNUMBER(F22),F22&gt;0),E22/(1+'المقارنة'!$C$2)/F22,"")</f>
        <v/>
      </c>
      <c r="I22" s="6" t="inlineStr"/>
      <c r="J22" s="12" t="inlineStr">
        <is>
          <t>https://hamidiyeambalaj.com/balonlu-ambalaj-naylonu-150-cm-50-m-30-gr-P781</t>
        </is>
      </c>
    </row>
    <row r="23">
      <c r="A23" s="9" t="inlineStr">
        <is>
          <t>2026-10-29</t>
        </is>
      </c>
      <c r="B23" s="9" t="inlineStr">
        <is>
          <t>Hamidiye Ambalaj</t>
        </is>
      </c>
      <c r="C23" s="9" t="inlineStr">
        <is>
          <t>S18</t>
        </is>
      </c>
      <c r="D23" s="9" t="inlineStr">
        <is>
          <t>Ara Kalite Balonlu Naylon 100 cm x 50 m 110 gr/m2</t>
        </is>
      </c>
      <c r="E23" s="10" t="n">
        <v>985</v>
      </c>
      <c r="F23" s="9" t="n">
        <v>1</v>
      </c>
      <c r="G23" s="9" t="inlineStr"/>
      <c r="H23" s="11">
        <f>IF(AND(ISNUMBER(E23),ISNUMBER(F23),F23&gt;0),E23/(1+'المقارنة'!$C$2)/F23,"")</f>
        <v/>
      </c>
      <c r="I23" s="6" t="inlineStr"/>
      <c r="J23" s="12" t="inlineStr">
        <is>
          <t>https://hamidiyeambalaj.com/ara-kalite-balonlu-naylon-100-cm-50-metre-110-gr-P764</t>
        </is>
      </c>
    </row>
    <row r="24">
      <c r="A24" s="9" t="inlineStr">
        <is>
          <t>2026-10-29</t>
        </is>
      </c>
      <c r="B24" s="9" t="inlineStr">
        <is>
          <t>Hamidiye Ambalaj</t>
        </is>
      </c>
      <c r="C24" s="9" t="inlineStr">
        <is>
          <t>S19</t>
        </is>
      </c>
      <c r="D24" s="9" t="inlineStr">
        <is>
          <t>Kose Kartonu Kosebent Kraft Karton 5x5x200 cm (25 Adet)</t>
        </is>
      </c>
      <c r="E24" s="10" t="n">
        <v>900</v>
      </c>
      <c r="F24" s="9" t="n">
        <v>25</v>
      </c>
      <c r="G24" s="9" t="inlineStr"/>
      <c r="H24" s="11">
        <f>IF(AND(ISNUMBER(E24),ISNUMBER(F24),F24&gt;0),E24/(1+'المقارنة'!$C$2)/F24,"")</f>
        <v/>
      </c>
      <c r="I24" s="6" t="inlineStr">
        <is>
          <t>حزمة 25 قطعة</t>
        </is>
      </c>
      <c r="J24" s="12" t="inlineStr">
        <is>
          <t>https://hamidiyeambalaj.com/kose-kartonu-kosebent-kraft-karton-5x5x200-cm-P766</t>
        </is>
      </c>
    </row>
    <row r="25">
      <c r="A25" s="9" t="inlineStr">
        <is>
          <t>2026-10-29</t>
        </is>
      </c>
      <c r="B25" s="9" t="inlineStr">
        <is>
          <t>Hamidiye Ambalaj</t>
        </is>
      </c>
      <c r="C25" s="9" t="inlineStr">
        <is>
          <t>S20</t>
        </is>
      </c>
      <c r="D25" s="9" t="inlineStr">
        <is>
          <t>30 cm 300 Metre 8 Micron Gida Streci</t>
        </is>
      </c>
      <c r="E25" s="10" t="n">
        <v>225</v>
      </c>
      <c r="F25" s="9" t="n">
        <v>1</v>
      </c>
      <c r="G25" s="9" t="inlineStr"/>
      <c r="H25" s="11">
        <f>IF(AND(ISNUMBER(E25),ISNUMBER(F25),F25&gt;0),E25/(1+'المقارنة'!$C$2)/F25,"")</f>
        <v/>
      </c>
      <c r="I25" s="6" t="inlineStr"/>
      <c r="J25" s="12" t="inlineStr">
        <is>
          <t>https://hamidiyeambalaj.com/30-cm-300-metre-8-micron-gida-streci-P867</t>
        </is>
      </c>
    </row>
    <row r="26">
      <c r="A26" s="9" t="inlineStr">
        <is>
          <t>2026-10-29</t>
        </is>
      </c>
      <c r="B26" s="9" t="inlineStr">
        <is>
          <t>Kral Bant</t>
        </is>
      </c>
      <c r="C26" s="9" t="inlineStr">
        <is>
          <t>S09</t>
        </is>
      </c>
      <c r="D26" s="9" t="inlineStr">
        <is>
          <t>17 Mikron 50cm X 200mt. Strec Film 12 adet UCRETSIZ KARGO</t>
        </is>
      </c>
      <c r="E26" s="10" t="n">
        <v>300</v>
      </c>
      <c r="F26" s="9" t="n">
        <v>12</v>
      </c>
      <c r="G26" s="9" t="inlineStr">
        <is>
          <t>نعم</t>
        </is>
      </c>
      <c r="H26" s="11">
        <f>IF(AND(ISNUMBER(E26),ISNUMBER(F26),F26&gt;0),E26/(1+'المقارنة'!$C$2)/F26,"")</f>
        <v/>
      </c>
      <c r="I26" s="6" t="inlineStr">
        <is>
          <t>غير واضح هل السعر للحزمة (12) أم للقطعة. تحقق قبل الاعتماد</t>
        </is>
      </c>
      <c r="J26" s="12" t="inlineStr">
        <is>
          <t>https://www.kralbant.com/index.php?route=product/category&amp;path=30</t>
        </is>
      </c>
    </row>
    <row r="27">
      <c r="A27" s="9" t="inlineStr">
        <is>
          <t>2026-10-29</t>
        </is>
      </c>
      <c r="B27" s="9" t="inlineStr">
        <is>
          <t>Kral Bant</t>
        </is>
      </c>
      <c r="C27" s="9" t="inlineStr">
        <is>
          <t>S01</t>
        </is>
      </c>
      <c r="D27" s="9" t="inlineStr">
        <is>
          <t>17 Mikron 50cm X 300mt. Strec Film 12 adet UCRETSIZ KARGO</t>
        </is>
      </c>
      <c r="E27" s="10" t="n">
        <v>430</v>
      </c>
      <c r="F27" s="9" t="n">
        <v>12</v>
      </c>
      <c r="G27" s="9" t="inlineStr">
        <is>
          <t>نعم</t>
        </is>
      </c>
      <c r="H27" s="11">
        <f>IF(AND(ISNUMBER(E27),ISNUMBER(F27),F27&gt;0),E27/(1+'المقارنة'!$C$2)/F27,"")</f>
        <v/>
      </c>
      <c r="I27" s="6" t="inlineStr">
        <is>
          <t>نفس الملاحظة: عدد القطع في السعر غير مؤكد</t>
        </is>
      </c>
      <c r="J27" s="12" t="inlineStr">
        <is>
          <t>https://www.kralbant.com/index.php?route=product/category&amp;path=30</t>
        </is>
      </c>
    </row>
    <row r="28">
      <c r="A28" s="9" t="inlineStr">
        <is>
          <t>2026-10-29</t>
        </is>
      </c>
      <c r="B28" s="9" t="inlineStr">
        <is>
          <t>Kral Bant</t>
        </is>
      </c>
      <c r="C28" s="9" t="inlineStr">
        <is>
          <t>S07</t>
        </is>
      </c>
      <c r="D28" s="9" t="inlineStr">
        <is>
          <t>10CM X 200 METRE STREC FILM 1 KOLI 30 ADET UCRETSIZ KARGO</t>
        </is>
      </c>
      <c r="E28" s="10" t="n">
        <v>75</v>
      </c>
      <c r="F28" s="9" t="n">
        <v>30</v>
      </c>
      <c r="G28" s="9" t="inlineStr">
        <is>
          <t>نعم</t>
        </is>
      </c>
      <c r="H28" s="11">
        <f>IF(AND(ISNUMBER(E28),ISNUMBER(F28),F28&gt;0),E28/(1+'المقارنة'!$C$2)/F28,"")</f>
        <v/>
      </c>
      <c r="I28" s="6" t="inlineStr">
        <is>
          <t>سعر الكرتونة (30 قطعة)؟ غير مؤكد</t>
        </is>
      </c>
      <c r="J28" s="12" t="inlineStr">
        <is>
          <t>https://www.kralbant.com/index.php?route=product/category&amp;path=30</t>
        </is>
      </c>
    </row>
    <row r="29">
      <c r="A29" s="9" t="inlineStr">
        <is>
          <t>2026-10-29</t>
        </is>
      </c>
      <c r="B29" s="9" t="inlineStr">
        <is>
          <t>Kral Bant</t>
        </is>
      </c>
      <c r="C29" s="9" t="inlineStr">
        <is>
          <t>S08</t>
        </is>
      </c>
      <c r="D29" s="9" t="inlineStr">
        <is>
          <t>17 Mikron 25cm X 200mt. Strec Film</t>
        </is>
      </c>
      <c r="E29" s="10" t="n">
        <v>175</v>
      </c>
      <c r="F29" s="9" t="n">
        <v>1</v>
      </c>
      <c r="G29" s="9" t="inlineStr">
        <is>
          <t>نعم</t>
        </is>
      </c>
      <c r="H29" s="11">
        <f>IF(AND(ISNUMBER(E29),ISNUMBER(F29),F29&gt;0),E29/(1+'المقارنة'!$C$2)/F29,"")</f>
        <v/>
      </c>
      <c r="I29" s="6" t="inlineStr">
        <is>
          <t>لا يذكر عدد القطع</t>
        </is>
      </c>
      <c r="J29" s="12" t="inlineStr">
        <is>
          <t>https://www.kralbant.com/index.php?route=product/category&amp;path=30</t>
        </is>
      </c>
    </row>
  </sheetData>
  <dataValidations count="1">
    <dataValidation sqref="G4:G400" showDropDown="0" showInputMessage="0" showErrorMessage="0" allowBlank="1" type="list">
      <formula1>"نعم"</formula1>
    </dataValidation>
  </dataValidation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>
      <c r="A1" s="4" t="inlineStr">
        <is>
          <t>المقارنة: سعرنا مقابل أسعار المنافسين المنشورة</t>
        </is>
      </c>
    </row>
    <row r="2">
      <c r="A2" s="13" t="inlineStr">
        <is>
          <t>نسبة KDV المشمولة في أسعار المنافسين:</t>
        </is>
      </c>
      <c r="C2" s="14" t="n">
        <v>0</v>
      </c>
      <c r="D2" s="8" t="inlineStr">
        <is>
          <t>افتراض: 0% (غير شامل). غيّرها إلى 20% فقط إذا تأكدت أن المواقع تعرض سعرًا شاملًا KDV.</t>
        </is>
      </c>
    </row>
    <row r="4" ht="30" customHeight="1">
      <c r="A4" s="5" t="inlineStr">
        <is>
          <t>الرمز</t>
        </is>
      </c>
      <c r="B4" s="5" t="inlineStr">
        <is>
          <t>الصنف</t>
        </is>
      </c>
      <c r="C4" s="5" t="inlineStr">
        <is>
          <t>عدد العروض المعتمدة</t>
        </is>
      </c>
      <c r="D4" s="5" t="inlineStr">
        <is>
          <t>أقل سعر للقطعة</t>
        </is>
      </c>
      <c r="E4" s="5" t="inlineStr">
        <is>
          <t>متوسط السعر</t>
        </is>
      </c>
      <c r="F4" s="5" t="inlineStr">
        <is>
          <t>أعلى سعر</t>
        </is>
      </c>
      <c r="G4" s="5" t="inlineStr">
        <is>
          <t>سعرنا (بدون KDV)</t>
        </is>
      </c>
      <c r="H4" s="5" t="inlineStr">
        <is>
          <t>فرق سعرنا عن الأقل</t>
        </is>
      </c>
      <c r="I4" s="5" t="inlineStr">
        <is>
          <t>فرق سعرنا عن المتوسط</t>
        </is>
      </c>
      <c r="J4" s="5" t="inlineStr">
        <is>
          <t>الحالة</t>
        </is>
      </c>
    </row>
    <row r="5">
      <c r="A5" s="15">
        <f>'الأصناف'!A4</f>
        <v/>
      </c>
      <c r="B5" s="16">
        <f>'الأصناف'!B4</f>
        <v/>
      </c>
      <c r="C5" s="17">
        <f>COUNTIFS('أسعار المنافسين'!$C$4:$C$400,A5,'أسعار المنافسين'!$G$4:$G$400,"",'أسعار المنافسين'!$H$4:$H$400,"&gt;0")</f>
        <v/>
      </c>
      <c r="D5" s="11">
        <f>IF(C5=0,"",AGGREGATE(15,6,'أسعار المنافسين'!$H$4:$H$400/(('أسعار المنافسين'!$C$4:$C$400=A5)*('أسعار المنافسين'!$G$4:$G$400="")*ISNUMBER('أسعار المنافسين'!$H$4:$H$400)),1))</f>
        <v/>
      </c>
      <c r="E5" s="11">
        <f>IF(C5=0,"",AVERAGEIFS('أسعار المنافسين'!$H$4:$H$400,'أسعار المنافسين'!$C$4:$C$400,A5,'أسعار المنافسين'!$G$4:$G$400,""))</f>
        <v/>
      </c>
      <c r="F5" s="11">
        <f>IF(C5=0,"",AGGREGATE(14,6,'أسعار المنافسين'!$H$4:$H$400/(('أسعار المنافسين'!$C$4:$C$400=A5)*('أسعار المنافسين'!$G$4:$G$400="")*ISNUMBER('أسعار المنافسين'!$H$4:$H$400)),1))</f>
        <v/>
      </c>
      <c r="G5" s="18">
        <f>IF('الأصناف'!E4="","",'الأصناف'!E4)</f>
        <v/>
      </c>
      <c r="H5" s="19">
        <f>IF(OR(G5="",D5=""),"",G5/D5-1)</f>
        <v/>
      </c>
      <c r="I5" s="19">
        <f>IF(OR(G5="",E5=""),"",G5/E5-1)</f>
        <v/>
      </c>
      <c r="J5" s="6">
        <f>IF(C5=0,"لا توجد أسعار منشورة",IF(G5="","أدخل سعرنا",IF(H5&lt;=0,"الأرخص أو مساوٍ",IF(H5&lt;=0.1,"قريب (حتى +10%)","أغلى من الأقل بأكثر من 10%"))))</f>
        <v/>
      </c>
    </row>
    <row r="6">
      <c r="A6" s="15">
        <f>'الأصناف'!A5</f>
        <v/>
      </c>
      <c r="B6" s="16">
        <f>'الأصناف'!B5</f>
        <v/>
      </c>
      <c r="C6" s="17">
        <f>COUNTIFS('أسعار المنافسين'!$C$4:$C$400,A6,'أسعار المنافسين'!$G$4:$G$400,"",'أسعار المنافسين'!$H$4:$H$400,"&gt;0")</f>
        <v/>
      </c>
      <c r="D6" s="11">
        <f>IF(C6=0,"",AGGREGATE(15,6,'أسعار المنافسين'!$H$4:$H$400/(('أسعار المنافسين'!$C$4:$C$400=A6)*('أسعار المنافسين'!$G$4:$G$400="")*ISNUMBER('أسعار المنافسين'!$H$4:$H$400)),1))</f>
        <v/>
      </c>
      <c r="E6" s="11">
        <f>IF(C6=0,"",AVERAGEIFS('أسعار المنافسين'!$H$4:$H$400,'أسعار المنافسين'!$C$4:$C$400,A6,'أسعار المنافسين'!$G$4:$G$400,""))</f>
        <v/>
      </c>
      <c r="F6" s="11">
        <f>IF(C6=0,"",AGGREGATE(14,6,'أسعار المنافسين'!$H$4:$H$400/(('أسعار المنافسين'!$C$4:$C$400=A6)*('أسعار المنافسين'!$G$4:$G$400="")*ISNUMBER('أسعار المنافسين'!$H$4:$H$400)),1))</f>
        <v/>
      </c>
      <c r="G6" s="18">
        <f>IF('الأصناف'!E5="","",'الأصناف'!E5)</f>
        <v/>
      </c>
      <c r="H6" s="19">
        <f>IF(OR(G6="",D6=""),"",G6/D6-1)</f>
        <v/>
      </c>
      <c r="I6" s="19">
        <f>IF(OR(G6="",E6=""),"",G6/E6-1)</f>
        <v/>
      </c>
      <c r="J6" s="6">
        <f>IF(C6=0,"لا توجد أسعار منشورة",IF(G6="","أدخل سعرنا",IF(H6&lt;=0,"الأرخص أو مساوٍ",IF(H6&lt;=0.1,"قريب (حتى +10%)","أغلى من الأقل بأكثر من 10%"))))</f>
        <v/>
      </c>
    </row>
    <row r="7">
      <c r="A7" s="15">
        <f>'الأصناف'!A6</f>
        <v/>
      </c>
      <c r="B7" s="16">
        <f>'الأصناف'!B6</f>
        <v/>
      </c>
      <c r="C7" s="17">
        <f>COUNTIFS('أسعار المنافسين'!$C$4:$C$400,A7,'أسعار المنافسين'!$G$4:$G$400,"",'أسعار المنافسين'!$H$4:$H$400,"&gt;0")</f>
        <v/>
      </c>
      <c r="D7" s="11">
        <f>IF(C7=0,"",AGGREGATE(15,6,'أسعار المنافسين'!$H$4:$H$400/(('أسعار المنافسين'!$C$4:$C$400=A7)*('أسعار المنافسين'!$G$4:$G$400="")*ISNUMBER('أسعار المنافسين'!$H$4:$H$400)),1))</f>
        <v/>
      </c>
      <c r="E7" s="11">
        <f>IF(C7=0,"",AVERAGEIFS('أسعار المنافسين'!$H$4:$H$400,'أسعار المنافسين'!$C$4:$C$400,A7,'أسعار المنافسين'!$G$4:$G$400,""))</f>
        <v/>
      </c>
      <c r="F7" s="11">
        <f>IF(C7=0,"",AGGREGATE(14,6,'أسعار المنافسين'!$H$4:$H$400/(('أسعار المنافسين'!$C$4:$C$400=A7)*('أسعار المنافسين'!$G$4:$G$400="")*ISNUMBER('أسعار المنافسين'!$H$4:$H$400)),1))</f>
        <v/>
      </c>
      <c r="G7" s="18">
        <f>IF('الأصناف'!E6="","",'الأصناف'!E6)</f>
        <v/>
      </c>
      <c r="H7" s="19">
        <f>IF(OR(G7="",D7=""),"",G7/D7-1)</f>
        <v/>
      </c>
      <c r="I7" s="19">
        <f>IF(OR(G7="",E7=""),"",G7/E7-1)</f>
        <v/>
      </c>
      <c r="J7" s="6">
        <f>IF(C7=0,"لا توجد أسعار منشورة",IF(G7="","أدخل سعرنا",IF(H7&lt;=0,"الأرخص أو مساوٍ",IF(H7&lt;=0.1,"قريب (حتى +10%)","أغلى من الأقل بأكثر من 10%"))))</f>
        <v/>
      </c>
    </row>
    <row r="8">
      <c r="A8" s="15">
        <f>'الأصناف'!A7</f>
        <v/>
      </c>
      <c r="B8" s="16">
        <f>'الأصناف'!B7</f>
        <v/>
      </c>
      <c r="C8" s="17">
        <f>COUNTIFS('أسعار المنافسين'!$C$4:$C$400,A8,'أسعار المنافسين'!$G$4:$G$400,"",'أسعار المنافسين'!$H$4:$H$400,"&gt;0")</f>
        <v/>
      </c>
      <c r="D8" s="11">
        <f>IF(C8=0,"",AGGREGATE(15,6,'أسعار المنافسين'!$H$4:$H$400/(('أسعار المنافسين'!$C$4:$C$400=A8)*('أسعار المنافسين'!$G$4:$G$400="")*ISNUMBER('أسعار المنافسين'!$H$4:$H$400)),1))</f>
        <v/>
      </c>
      <c r="E8" s="11">
        <f>IF(C8=0,"",AVERAGEIFS('أسعار المنافسين'!$H$4:$H$400,'أسعار المنافسين'!$C$4:$C$400,A8,'أسعار المنافسين'!$G$4:$G$400,""))</f>
        <v/>
      </c>
      <c r="F8" s="11">
        <f>IF(C8=0,"",AGGREGATE(14,6,'أسعار المنافسين'!$H$4:$H$400/(('أسعار المنافسين'!$C$4:$C$400=A8)*('أسعار المنافسين'!$G$4:$G$400="")*ISNUMBER('أسعار المنافسين'!$H$4:$H$400)),1))</f>
        <v/>
      </c>
      <c r="G8" s="18">
        <f>IF('الأصناف'!E7="","",'الأصناف'!E7)</f>
        <v/>
      </c>
      <c r="H8" s="19">
        <f>IF(OR(G8="",D8=""),"",G8/D8-1)</f>
        <v/>
      </c>
      <c r="I8" s="19">
        <f>IF(OR(G8="",E8=""),"",G8/E8-1)</f>
        <v/>
      </c>
      <c r="J8" s="6">
        <f>IF(C8=0,"لا توجد أسعار منشورة",IF(G8="","أدخل سعرنا",IF(H8&lt;=0,"الأرخص أو مساوٍ",IF(H8&lt;=0.1,"قريب (حتى +10%)","أغلى من الأقل بأكثر من 10%"))))</f>
        <v/>
      </c>
    </row>
    <row r="9">
      <c r="A9" s="15">
        <f>'الأصناف'!A8</f>
        <v/>
      </c>
      <c r="B9" s="16">
        <f>'الأصناف'!B8</f>
        <v/>
      </c>
      <c r="C9" s="17">
        <f>COUNTIFS('أسعار المنافسين'!$C$4:$C$400,A9,'أسعار المنافسين'!$G$4:$G$400,"",'أسعار المنافسين'!$H$4:$H$400,"&gt;0")</f>
        <v/>
      </c>
      <c r="D9" s="11">
        <f>IF(C9=0,"",AGGREGATE(15,6,'أسعار المنافسين'!$H$4:$H$400/(('أسعار المنافسين'!$C$4:$C$400=A9)*('أسعار المنافسين'!$G$4:$G$400="")*ISNUMBER('أسعار المنافسين'!$H$4:$H$400)),1))</f>
        <v/>
      </c>
      <c r="E9" s="11">
        <f>IF(C9=0,"",AVERAGEIFS('أسعار المنافسين'!$H$4:$H$400,'أسعار المنافسين'!$C$4:$C$400,A9,'أسعار المنافسين'!$G$4:$G$400,""))</f>
        <v/>
      </c>
      <c r="F9" s="11">
        <f>IF(C9=0,"",AGGREGATE(14,6,'أسعار المنافسين'!$H$4:$H$400/(('أسعار المنافسين'!$C$4:$C$400=A9)*('أسعار المنافسين'!$G$4:$G$400="")*ISNUMBER('أسعار المنافسين'!$H$4:$H$400)),1))</f>
        <v/>
      </c>
      <c r="G9" s="18">
        <f>IF('الأصناف'!E8="","",'الأصناف'!E8)</f>
        <v/>
      </c>
      <c r="H9" s="19">
        <f>IF(OR(G9="",D9=""),"",G9/D9-1)</f>
        <v/>
      </c>
      <c r="I9" s="19">
        <f>IF(OR(G9="",E9=""),"",G9/E9-1)</f>
        <v/>
      </c>
      <c r="J9" s="6">
        <f>IF(C9=0,"لا توجد أسعار منشورة",IF(G9="","أدخل سعرنا",IF(H9&lt;=0,"الأرخص أو مساوٍ",IF(H9&lt;=0.1,"قريب (حتى +10%)","أغلى من الأقل بأكثر من 10%"))))</f>
        <v/>
      </c>
    </row>
    <row r="10">
      <c r="A10" s="15">
        <f>'الأصناف'!A9</f>
        <v/>
      </c>
      <c r="B10" s="16">
        <f>'الأصناف'!B9</f>
        <v/>
      </c>
      <c r="C10" s="17">
        <f>COUNTIFS('أسعار المنافسين'!$C$4:$C$400,A10,'أسعار المنافسين'!$G$4:$G$400,"",'أسعار المنافسين'!$H$4:$H$400,"&gt;0")</f>
        <v/>
      </c>
      <c r="D10" s="11">
        <f>IF(C10=0,"",AGGREGATE(15,6,'أسعار المنافسين'!$H$4:$H$400/(('أسعار المنافسين'!$C$4:$C$400=A10)*('أسعار المنافسين'!$G$4:$G$400="")*ISNUMBER('أسعار المنافسين'!$H$4:$H$400)),1))</f>
        <v/>
      </c>
      <c r="E10" s="11">
        <f>IF(C10=0,"",AVERAGEIFS('أسعار المنافسين'!$H$4:$H$400,'أسعار المنافسين'!$C$4:$C$400,A10,'أسعار المنافسين'!$G$4:$G$400,""))</f>
        <v/>
      </c>
      <c r="F10" s="11">
        <f>IF(C10=0,"",AGGREGATE(14,6,'أسعار المنافسين'!$H$4:$H$400/(('أسعار المنافسين'!$C$4:$C$400=A10)*('أسعار المنافسين'!$G$4:$G$400="")*ISNUMBER('أسعار المنافسين'!$H$4:$H$400)),1))</f>
        <v/>
      </c>
      <c r="G10" s="18">
        <f>IF('الأصناف'!E9="","",'الأصناف'!E9)</f>
        <v/>
      </c>
      <c r="H10" s="19">
        <f>IF(OR(G10="",D10=""),"",G10/D10-1)</f>
        <v/>
      </c>
      <c r="I10" s="19">
        <f>IF(OR(G10="",E10=""),"",G10/E10-1)</f>
        <v/>
      </c>
      <c r="J10" s="6">
        <f>IF(C10=0,"لا توجد أسعار منشورة",IF(G10="","أدخل سعرنا",IF(H10&lt;=0,"الأرخص أو مساوٍ",IF(H10&lt;=0.1,"قريب (حتى +10%)","أغلى من الأقل بأكثر من 10%"))))</f>
        <v/>
      </c>
    </row>
    <row r="11">
      <c r="A11" s="15">
        <f>'الأصناف'!A10</f>
        <v/>
      </c>
      <c r="B11" s="16">
        <f>'الأصناف'!B10</f>
        <v/>
      </c>
      <c r="C11" s="17">
        <f>COUNTIFS('أسعار المنافسين'!$C$4:$C$400,A11,'أسعار المنافسين'!$G$4:$G$400,"",'أسعار المنافسين'!$H$4:$H$400,"&gt;0")</f>
        <v/>
      </c>
      <c r="D11" s="11">
        <f>IF(C11=0,"",AGGREGATE(15,6,'أسعار المنافسين'!$H$4:$H$400/(('أسعار المنافسين'!$C$4:$C$400=A11)*('أسعار المنافسين'!$G$4:$G$400="")*ISNUMBER('أسعار المنافسين'!$H$4:$H$400)),1))</f>
        <v/>
      </c>
      <c r="E11" s="11">
        <f>IF(C11=0,"",AVERAGEIFS('أسعار المنافسين'!$H$4:$H$400,'أسعار المنافسين'!$C$4:$C$400,A11,'أسعار المنافسين'!$G$4:$G$400,""))</f>
        <v/>
      </c>
      <c r="F11" s="11">
        <f>IF(C11=0,"",AGGREGATE(14,6,'أسعار المنافسين'!$H$4:$H$400/(('أسعار المنافسين'!$C$4:$C$400=A11)*('أسعار المنافسين'!$G$4:$G$400="")*ISNUMBER('أسعار المنافسين'!$H$4:$H$400)),1))</f>
        <v/>
      </c>
      <c r="G11" s="18">
        <f>IF('الأصناف'!E10="","",'الأصناف'!E10)</f>
        <v/>
      </c>
      <c r="H11" s="19">
        <f>IF(OR(G11="",D11=""),"",G11/D11-1)</f>
        <v/>
      </c>
      <c r="I11" s="19">
        <f>IF(OR(G11="",E11=""),"",G11/E11-1)</f>
        <v/>
      </c>
      <c r="J11" s="6">
        <f>IF(C11=0,"لا توجد أسعار منشورة",IF(G11="","أدخل سعرنا",IF(H11&lt;=0,"الأرخص أو مساوٍ",IF(H11&lt;=0.1,"قريب (حتى +10%)","أغلى من الأقل بأكثر من 10%"))))</f>
        <v/>
      </c>
    </row>
    <row r="12">
      <c r="A12" s="15">
        <f>'الأصناف'!A11</f>
        <v/>
      </c>
      <c r="B12" s="16">
        <f>'الأصناف'!B11</f>
        <v/>
      </c>
      <c r="C12" s="17">
        <f>COUNTIFS('أسعار المنافسين'!$C$4:$C$400,A12,'أسعار المنافسين'!$G$4:$G$400,"",'أسعار المنافسين'!$H$4:$H$400,"&gt;0")</f>
        <v/>
      </c>
      <c r="D12" s="11">
        <f>IF(C12=0,"",AGGREGATE(15,6,'أسعار المنافسين'!$H$4:$H$400/(('أسعار المنافسين'!$C$4:$C$400=A12)*('أسعار المنافسين'!$G$4:$G$400="")*ISNUMBER('أسعار المنافسين'!$H$4:$H$400)),1))</f>
        <v/>
      </c>
      <c r="E12" s="11">
        <f>IF(C12=0,"",AVERAGEIFS('أسعار المنافسين'!$H$4:$H$400,'أسعار المنافسين'!$C$4:$C$400,A12,'أسعار المنافسين'!$G$4:$G$400,""))</f>
        <v/>
      </c>
      <c r="F12" s="11">
        <f>IF(C12=0,"",AGGREGATE(14,6,'أسعار المنافسين'!$H$4:$H$400/(('أسعار المنافسين'!$C$4:$C$400=A12)*('أسعار المنافسين'!$G$4:$G$400="")*ISNUMBER('أسعار المنافسين'!$H$4:$H$400)),1))</f>
        <v/>
      </c>
      <c r="G12" s="18">
        <f>IF('الأصناف'!E11="","",'الأصناف'!E11)</f>
        <v/>
      </c>
      <c r="H12" s="19">
        <f>IF(OR(G12="",D12=""),"",G12/D12-1)</f>
        <v/>
      </c>
      <c r="I12" s="19">
        <f>IF(OR(G12="",E12=""),"",G12/E12-1)</f>
        <v/>
      </c>
      <c r="J12" s="6">
        <f>IF(C12=0,"لا توجد أسعار منشورة",IF(G12="","أدخل سعرنا",IF(H12&lt;=0,"الأرخص أو مساوٍ",IF(H12&lt;=0.1,"قريب (حتى +10%)","أغلى من الأقل بأكثر من 10%"))))</f>
        <v/>
      </c>
    </row>
    <row r="13">
      <c r="A13" s="15">
        <f>'الأصناف'!A12</f>
        <v/>
      </c>
      <c r="B13" s="16">
        <f>'الأصناف'!B12</f>
        <v/>
      </c>
      <c r="C13" s="17">
        <f>COUNTIFS('أسعار المنافسين'!$C$4:$C$400,A13,'أسعار المنافسين'!$G$4:$G$400,"",'أسعار المنافسين'!$H$4:$H$400,"&gt;0")</f>
        <v/>
      </c>
      <c r="D13" s="11">
        <f>IF(C13=0,"",AGGREGATE(15,6,'أسعار المنافسين'!$H$4:$H$400/(('أسعار المنافسين'!$C$4:$C$400=A13)*('أسعار المنافسين'!$G$4:$G$400="")*ISNUMBER('أسعار المنافسين'!$H$4:$H$400)),1))</f>
        <v/>
      </c>
      <c r="E13" s="11">
        <f>IF(C13=0,"",AVERAGEIFS('أسعار المنافسين'!$H$4:$H$400,'أسعار المنافسين'!$C$4:$C$400,A13,'أسعار المنافسين'!$G$4:$G$400,""))</f>
        <v/>
      </c>
      <c r="F13" s="11">
        <f>IF(C13=0,"",AGGREGATE(14,6,'أسعار المنافسين'!$H$4:$H$400/(('أسعار المنافسين'!$C$4:$C$400=A13)*('أسعار المنافسين'!$G$4:$G$400="")*ISNUMBER('أسعار المنافسين'!$H$4:$H$400)),1))</f>
        <v/>
      </c>
      <c r="G13" s="18">
        <f>IF('الأصناف'!E12="","",'الأصناف'!E12)</f>
        <v/>
      </c>
      <c r="H13" s="19">
        <f>IF(OR(G13="",D13=""),"",G13/D13-1)</f>
        <v/>
      </c>
      <c r="I13" s="19">
        <f>IF(OR(G13="",E13=""),"",G13/E13-1)</f>
        <v/>
      </c>
      <c r="J13" s="6">
        <f>IF(C13=0,"لا توجد أسعار منشورة",IF(G13="","أدخل سعرنا",IF(H13&lt;=0,"الأرخص أو مساوٍ",IF(H13&lt;=0.1,"قريب (حتى +10%)","أغلى من الأقل بأكثر من 10%"))))</f>
        <v/>
      </c>
    </row>
    <row r="14">
      <c r="A14" s="15">
        <f>'الأصناف'!A13</f>
        <v/>
      </c>
      <c r="B14" s="16">
        <f>'الأصناف'!B13</f>
        <v/>
      </c>
      <c r="C14" s="17">
        <f>COUNTIFS('أسعار المنافسين'!$C$4:$C$400,A14,'أسعار المنافسين'!$G$4:$G$400,"",'أسعار المنافسين'!$H$4:$H$400,"&gt;0")</f>
        <v/>
      </c>
      <c r="D14" s="11">
        <f>IF(C14=0,"",AGGREGATE(15,6,'أسعار المنافسين'!$H$4:$H$400/(('أسعار المنافسين'!$C$4:$C$400=A14)*('أسعار المنافسين'!$G$4:$G$400="")*ISNUMBER('أسعار المنافسين'!$H$4:$H$400)),1))</f>
        <v/>
      </c>
      <c r="E14" s="11">
        <f>IF(C14=0,"",AVERAGEIFS('أسعار المنافسين'!$H$4:$H$400,'أسعار المنافسين'!$C$4:$C$400,A14,'أسعار المنافسين'!$G$4:$G$400,""))</f>
        <v/>
      </c>
      <c r="F14" s="11">
        <f>IF(C14=0,"",AGGREGATE(14,6,'أسعار المنافسين'!$H$4:$H$400/(('أسعار المنافسين'!$C$4:$C$400=A14)*('أسعار المنافسين'!$G$4:$G$400="")*ISNUMBER('أسعار المنافسين'!$H$4:$H$400)),1))</f>
        <v/>
      </c>
      <c r="G14" s="18">
        <f>IF('الأصناف'!E13="","",'الأصناف'!E13)</f>
        <v/>
      </c>
      <c r="H14" s="19">
        <f>IF(OR(G14="",D14=""),"",G14/D14-1)</f>
        <v/>
      </c>
      <c r="I14" s="19">
        <f>IF(OR(G14="",E14=""),"",G14/E14-1)</f>
        <v/>
      </c>
      <c r="J14" s="6">
        <f>IF(C14=0,"لا توجد أسعار منشورة",IF(G14="","أدخل سعرنا",IF(H14&lt;=0,"الأرخص أو مساوٍ",IF(H14&lt;=0.1,"قريب (حتى +10%)","أغلى من الأقل بأكثر من 10%"))))</f>
        <v/>
      </c>
    </row>
    <row r="15">
      <c r="A15" s="15">
        <f>'الأصناف'!A14</f>
        <v/>
      </c>
      <c r="B15" s="16">
        <f>'الأصناف'!B14</f>
        <v/>
      </c>
      <c r="C15" s="17">
        <f>COUNTIFS('أسعار المنافسين'!$C$4:$C$400,A15,'أسعار المنافسين'!$G$4:$G$400,"",'أسعار المنافسين'!$H$4:$H$400,"&gt;0")</f>
        <v/>
      </c>
      <c r="D15" s="11">
        <f>IF(C15=0,"",AGGREGATE(15,6,'أسعار المنافسين'!$H$4:$H$400/(('أسعار المنافسين'!$C$4:$C$400=A15)*('أسعار المنافسين'!$G$4:$G$400="")*ISNUMBER('أسعار المنافسين'!$H$4:$H$400)),1))</f>
        <v/>
      </c>
      <c r="E15" s="11">
        <f>IF(C15=0,"",AVERAGEIFS('أسعار المنافسين'!$H$4:$H$400,'أسعار المنافسين'!$C$4:$C$400,A15,'أسعار المنافسين'!$G$4:$G$400,""))</f>
        <v/>
      </c>
      <c r="F15" s="11">
        <f>IF(C15=0,"",AGGREGATE(14,6,'أسعار المنافسين'!$H$4:$H$400/(('أسعار المنافسين'!$C$4:$C$400=A15)*('أسعار المنافسين'!$G$4:$G$400="")*ISNUMBER('أسعار المنافسين'!$H$4:$H$400)),1))</f>
        <v/>
      </c>
      <c r="G15" s="18">
        <f>IF('الأصناف'!E14="","",'الأصناف'!E14)</f>
        <v/>
      </c>
      <c r="H15" s="19">
        <f>IF(OR(G15="",D15=""),"",G15/D15-1)</f>
        <v/>
      </c>
      <c r="I15" s="19">
        <f>IF(OR(G15="",E15=""),"",G15/E15-1)</f>
        <v/>
      </c>
      <c r="J15" s="6">
        <f>IF(C15=0,"لا توجد أسعار منشورة",IF(G15="","أدخل سعرنا",IF(H15&lt;=0,"الأرخص أو مساوٍ",IF(H15&lt;=0.1,"قريب (حتى +10%)","أغلى من الأقل بأكثر من 10%"))))</f>
        <v/>
      </c>
    </row>
    <row r="16">
      <c r="A16" s="15">
        <f>'الأصناف'!A15</f>
        <v/>
      </c>
      <c r="B16" s="16">
        <f>'الأصناف'!B15</f>
        <v/>
      </c>
      <c r="C16" s="17">
        <f>COUNTIFS('أسعار المنافسين'!$C$4:$C$400,A16,'أسعار المنافسين'!$G$4:$G$400,"",'أسعار المنافسين'!$H$4:$H$400,"&gt;0")</f>
        <v/>
      </c>
      <c r="D16" s="11">
        <f>IF(C16=0,"",AGGREGATE(15,6,'أسعار المنافسين'!$H$4:$H$400/(('أسعار المنافسين'!$C$4:$C$400=A16)*('أسعار المنافسين'!$G$4:$G$400="")*ISNUMBER('أسعار المنافسين'!$H$4:$H$400)),1))</f>
        <v/>
      </c>
      <c r="E16" s="11">
        <f>IF(C16=0,"",AVERAGEIFS('أسعار المنافسين'!$H$4:$H$400,'أسعار المنافسين'!$C$4:$C$400,A16,'أسعار المنافسين'!$G$4:$G$400,""))</f>
        <v/>
      </c>
      <c r="F16" s="11">
        <f>IF(C16=0,"",AGGREGATE(14,6,'أسعار المنافسين'!$H$4:$H$400/(('أسعار المنافسين'!$C$4:$C$400=A16)*('أسعار المنافسين'!$G$4:$G$400="")*ISNUMBER('أسعار المنافسين'!$H$4:$H$400)),1))</f>
        <v/>
      </c>
      <c r="G16" s="18">
        <f>IF('الأصناف'!E15="","",'الأصناف'!E15)</f>
        <v/>
      </c>
      <c r="H16" s="19">
        <f>IF(OR(G16="",D16=""),"",G16/D16-1)</f>
        <v/>
      </c>
      <c r="I16" s="19">
        <f>IF(OR(G16="",E16=""),"",G16/E16-1)</f>
        <v/>
      </c>
      <c r="J16" s="6">
        <f>IF(C16=0,"لا توجد أسعار منشورة",IF(G16="","أدخل سعرنا",IF(H16&lt;=0,"الأرخص أو مساوٍ",IF(H16&lt;=0.1,"قريب (حتى +10%)","أغلى من الأقل بأكثر من 10%"))))</f>
        <v/>
      </c>
    </row>
    <row r="17">
      <c r="A17" s="15">
        <f>'الأصناف'!A16</f>
        <v/>
      </c>
      <c r="B17" s="16">
        <f>'الأصناف'!B16</f>
        <v/>
      </c>
      <c r="C17" s="17">
        <f>COUNTIFS('أسعار المنافسين'!$C$4:$C$400,A17,'أسعار المنافسين'!$G$4:$G$400,"",'أسعار المنافسين'!$H$4:$H$400,"&gt;0")</f>
        <v/>
      </c>
      <c r="D17" s="11">
        <f>IF(C17=0,"",AGGREGATE(15,6,'أسعار المنافسين'!$H$4:$H$400/(('أسعار المنافسين'!$C$4:$C$400=A17)*('أسعار المنافسين'!$G$4:$G$400="")*ISNUMBER('أسعار المنافسين'!$H$4:$H$400)),1))</f>
        <v/>
      </c>
      <c r="E17" s="11">
        <f>IF(C17=0,"",AVERAGEIFS('أسعار المنافسين'!$H$4:$H$400,'أسعار المنافسين'!$C$4:$C$400,A17,'أسعار المنافسين'!$G$4:$G$400,""))</f>
        <v/>
      </c>
      <c r="F17" s="11">
        <f>IF(C17=0,"",AGGREGATE(14,6,'أسعار المنافسين'!$H$4:$H$400/(('أسعار المنافسين'!$C$4:$C$400=A17)*('أسعار المنافسين'!$G$4:$G$400="")*ISNUMBER('أسعار المنافسين'!$H$4:$H$400)),1))</f>
        <v/>
      </c>
      <c r="G17" s="18">
        <f>IF('الأصناف'!E16="","",'الأصناف'!E16)</f>
        <v/>
      </c>
      <c r="H17" s="19">
        <f>IF(OR(G17="",D17=""),"",G17/D17-1)</f>
        <v/>
      </c>
      <c r="I17" s="19">
        <f>IF(OR(G17="",E17=""),"",G17/E17-1)</f>
        <v/>
      </c>
      <c r="J17" s="6">
        <f>IF(C17=0,"لا توجد أسعار منشورة",IF(G17="","أدخل سعرنا",IF(H17&lt;=0,"الأرخص أو مساوٍ",IF(H17&lt;=0.1,"قريب (حتى +10%)","أغلى من الأقل بأكثر من 10%"))))</f>
        <v/>
      </c>
    </row>
    <row r="18">
      <c r="A18" s="15">
        <f>'الأصناف'!A17</f>
        <v/>
      </c>
      <c r="B18" s="16">
        <f>'الأصناف'!B17</f>
        <v/>
      </c>
      <c r="C18" s="17">
        <f>COUNTIFS('أسعار المنافسين'!$C$4:$C$400,A18,'أسعار المنافسين'!$G$4:$G$400,"",'أسعار المنافسين'!$H$4:$H$400,"&gt;0")</f>
        <v/>
      </c>
      <c r="D18" s="11">
        <f>IF(C18=0,"",AGGREGATE(15,6,'أسعار المنافسين'!$H$4:$H$400/(('أسعار المنافسين'!$C$4:$C$400=A18)*('أسعار المنافسين'!$G$4:$G$400="")*ISNUMBER('أسعار المنافسين'!$H$4:$H$400)),1))</f>
        <v/>
      </c>
      <c r="E18" s="11">
        <f>IF(C18=0,"",AVERAGEIFS('أسعار المنافسين'!$H$4:$H$400,'أسعار المنافسين'!$C$4:$C$400,A18,'أسعار المنافسين'!$G$4:$G$400,""))</f>
        <v/>
      </c>
      <c r="F18" s="11">
        <f>IF(C18=0,"",AGGREGATE(14,6,'أسعار المنافسين'!$H$4:$H$400/(('أسعار المنافسين'!$C$4:$C$400=A18)*('أسعار المنافسين'!$G$4:$G$400="")*ISNUMBER('أسعار المنافسين'!$H$4:$H$400)),1))</f>
        <v/>
      </c>
      <c r="G18" s="18">
        <f>IF('الأصناف'!E17="","",'الأصناف'!E17)</f>
        <v/>
      </c>
      <c r="H18" s="19">
        <f>IF(OR(G18="",D18=""),"",G18/D18-1)</f>
        <v/>
      </c>
      <c r="I18" s="19">
        <f>IF(OR(G18="",E18=""),"",G18/E18-1)</f>
        <v/>
      </c>
      <c r="J18" s="6">
        <f>IF(C18=0,"لا توجد أسعار منشورة",IF(G18="","أدخل سعرنا",IF(H18&lt;=0,"الأرخص أو مساوٍ",IF(H18&lt;=0.1,"قريب (حتى +10%)","أغلى من الأقل بأكثر من 10%"))))</f>
        <v/>
      </c>
    </row>
    <row r="19">
      <c r="A19" s="15">
        <f>'الأصناف'!A18</f>
        <v/>
      </c>
      <c r="B19" s="16">
        <f>'الأصناف'!B18</f>
        <v/>
      </c>
      <c r="C19" s="17">
        <f>COUNTIFS('أسعار المنافسين'!$C$4:$C$400,A19,'أسعار المنافسين'!$G$4:$G$400,"",'أسعار المنافسين'!$H$4:$H$400,"&gt;0")</f>
        <v/>
      </c>
      <c r="D19" s="11">
        <f>IF(C19=0,"",AGGREGATE(15,6,'أسعار المنافسين'!$H$4:$H$400/(('أسعار المنافسين'!$C$4:$C$400=A19)*('أسعار المنافسين'!$G$4:$G$400="")*ISNUMBER('أسعار المنافسين'!$H$4:$H$400)),1))</f>
        <v/>
      </c>
      <c r="E19" s="11">
        <f>IF(C19=0,"",AVERAGEIFS('أسعار المنافسين'!$H$4:$H$400,'أسعار المنافسين'!$C$4:$C$400,A19,'أسعار المنافسين'!$G$4:$G$400,""))</f>
        <v/>
      </c>
      <c r="F19" s="11">
        <f>IF(C19=0,"",AGGREGATE(14,6,'أسعار المنافسين'!$H$4:$H$400/(('أسعار المنافسين'!$C$4:$C$400=A19)*('أسعار المنافسين'!$G$4:$G$400="")*ISNUMBER('أسعار المنافسين'!$H$4:$H$400)),1))</f>
        <v/>
      </c>
      <c r="G19" s="18">
        <f>IF('الأصناف'!E18="","",'الأصناف'!E18)</f>
        <v/>
      </c>
      <c r="H19" s="19">
        <f>IF(OR(G19="",D19=""),"",G19/D19-1)</f>
        <v/>
      </c>
      <c r="I19" s="19">
        <f>IF(OR(G19="",E19=""),"",G19/E19-1)</f>
        <v/>
      </c>
      <c r="J19" s="6">
        <f>IF(C19=0,"لا توجد أسعار منشورة",IF(G19="","أدخل سعرنا",IF(H19&lt;=0,"الأرخص أو مساوٍ",IF(H19&lt;=0.1,"قريب (حتى +10%)","أغلى من الأقل بأكثر من 10%"))))</f>
        <v/>
      </c>
    </row>
    <row r="20">
      <c r="A20" s="15">
        <f>'الأصناف'!A19</f>
        <v/>
      </c>
      <c r="B20" s="16">
        <f>'الأصناف'!B19</f>
        <v/>
      </c>
      <c r="C20" s="17">
        <f>COUNTIFS('أسعار المنافسين'!$C$4:$C$400,A20,'أسعار المنافسين'!$G$4:$G$400,"",'أسعار المنافسين'!$H$4:$H$400,"&gt;0")</f>
        <v/>
      </c>
      <c r="D20" s="11">
        <f>IF(C20=0,"",AGGREGATE(15,6,'أسعار المنافسين'!$H$4:$H$400/(('أسعار المنافسين'!$C$4:$C$400=A20)*('أسعار المنافسين'!$G$4:$G$400="")*ISNUMBER('أسعار المنافسين'!$H$4:$H$400)),1))</f>
        <v/>
      </c>
      <c r="E20" s="11">
        <f>IF(C20=0,"",AVERAGEIFS('أسعار المنافسين'!$H$4:$H$400,'أسعار المنافسين'!$C$4:$C$400,A20,'أسعار المنافسين'!$G$4:$G$400,""))</f>
        <v/>
      </c>
      <c r="F20" s="11">
        <f>IF(C20=0,"",AGGREGATE(14,6,'أسعار المنافسين'!$H$4:$H$400/(('أسعار المنافسين'!$C$4:$C$400=A20)*('أسعار المنافسين'!$G$4:$G$400="")*ISNUMBER('أسعار المنافسين'!$H$4:$H$400)),1))</f>
        <v/>
      </c>
      <c r="G20" s="18">
        <f>IF('الأصناف'!E19="","",'الأصناف'!E19)</f>
        <v/>
      </c>
      <c r="H20" s="19">
        <f>IF(OR(G20="",D20=""),"",G20/D20-1)</f>
        <v/>
      </c>
      <c r="I20" s="19">
        <f>IF(OR(G20="",E20=""),"",G20/E20-1)</f>
        <v/>
      </c>
      <c r="J20" s="6">
        <f>IF(C20=0,"لا توجد أسعار منشورة",IF(G20="","أدخل سعرنا",IF(H20&lt;=0,"الأرخص أو مساوٍ",IF(H20&lt;=0.1,"قريب (حتى +10%)","أغلى من الأقل بأكثر من 10%"))))</f>
        <v/>
      </c>
    </row>
    <row r="21">
      <c r="A21" s="15">
        <f>'الأصناف'!A20</f>
        <v/>
      </c>
      <c r="B21" s="16">
        <f>'الأصناف'!B20</f>
        <v/>
      </c>
      <c r="C21" s="17">
        <f>COUNTIFS('أسعار المنافسين'!$C$4:$C$400,A21,'أسعار المنافسين'!$G$4:$G$400,"",'أسعار المنافسين'!$H$4:$H$400,"&gt;0")</f>
        <v/>
      </c>
      <c r="D21" s="11">
        <f>IF(C21=0,"",AGGREGATE(15,6,'أسعار المنافسين'!$H$4:$H$400/(('أسعار المنافسين'!$C$4:$C$400=A21)*('أسعار المنافسين'!$G$4:$G$400="")*ISNUMBER('أسعار المنافسين'!$H$4:$H$400)),1))</f>
        <v/>
      </c>
      <c r="E21" s="11">
        <f>IF(C21=0,"",AVERAGEIFS('أسعار المنافسين'!$H$4:$H$400,'أسعار المنافسين'!$C$4:$C$400,A21,'أسعار المنافسين'!$G$4:$G$400,""))</f>
        <v/>
      </c>
      <c r="F21" s="11">
        <f>IF(C21=0,"",AGGREGATE(14,6,'أسعار المنافسين'!$H$4:$H$400/(('أسعار المنافسين'!$C$4:$C$400=A21)*('أسعار المنافسين'!$G$4:$G$400="")*ISNUMBER('أسعار المنافسين'!$H$4:$H$400)),1))</f>
        <v/>
      </c>
      <c r="G21" s="18">
        <f>IF('الأصناف'!E20="","",'الأصناف'!E20)</f>
        <v/>
      </c>
      <c r="H21" s="19">
        <f>IF(OR(G21="",D21=""),"",G21/D21-1)</f>
        <v/>
      </c>
      <c r="I21" s="19">
        <f>IF(OR(G21="",E21=""),"",G21/E21-1)</f>
        <v/>
      </c>
      <c r="J21" s="6">
        <f>IF(C21=0,"لا توجد أسعار منشورة",IF(G21="","أدخل سعرنا",IF(H21&lt;=0,"الأرخص أو مساوٍ",IF(H21&lt;=0.1,"قريب (حتى +10%)","أغلى من الأقل بأكثر من 10%"))))</f>
        <v/>
      </c>
    </row>
    <row r="22">
      <c r="A22" s="15">
        <f>'الأصناف'!A21</f>
        <v/>
      </c>
      <c r="B22" s="16">
        <f>'الأصناف'!B21</f>
        <v/>
      </c>
      <c r="C22" s="17">
        <f>COUNTIFS('أسعار المنافسين'!$C$4:$C$400,A22,'أسعار المنافسين'!$G$4:$G$400,"",'أسعار المنافسين'!$H$4:$H$400,"&gt;0")</f>
        <v/>
      </c>
      <c r="D22" s="11">
        <f>IF(C22=0,"",AGGREGATE(15,6,'أسعار المنافسين'!$H$4:$H$400/(('أسعار المنافسين'!$C$4:$C$400=A22)*('أسعار المنافسين'!$G$4:$G$400="")*ISNUMBER('أسعار المنافسين'!$H$4:$H$400)),1))</f>
        <v/>
      </c>
      <c r="E22" s="11">
        <f>IF(C22=0,"",AVERAGEIFS('أسعار المنافسين'!$H$4:$H$400,'أسعار المنافسين'!$C$4:$C$400,A22,'أسعار المنافسين'!$G$4:$G$400,""))</f>
        <v/>
      </c>
      <c r="F22" s="11">
        <f>IF(C22=0,"",AGGREGATE(14,6,'أسعار المنافسين'!$H$4:$H$400/(('أسعار المنافسين'!$C$4:$C$400=A22)*('أسعار المنافسين'!$G$4:$G$400="")*ISNUMBER('أسعار المنافسين'!$H$4:$H$400)),1))</f>
        <v/>
      </c>
      <c r="G22" s="18">
        <f>IF('الأصناف'!E21="","",'الأصناف'!E21)</f>
        <v/>
      </c>
      <c r="H22" s="19">
        <f>IF(OR(G22="",D22=""),"",G22/D22-1)</f>
        <v/>
      </c>
      <c r="I22" s="19">
        <f>IF(OR(G22="",E22=""),"",G22/E22-1)</f>
        <v/>
      </c>
      <c r="J22" s="6">
        <f>IF(C22=0,"لا توجد أسعار منشورة",IF(G22="","أدخل سعرنا",IF(H22&lt;=0,"الأرخص أو مساوٍ",IF(H22&lt;=0.1,"قريب (حتى +10%)","أغلى من الأقل بأكثر من 10%"))))</f>
        <v/>
      </c>
    </row>
    <row r="23">
      <c r="A23" s="15">
        <f>'الأصناف'!A22</f>
        <v/>
      </c>
      <c r="B23" s="16">
        <f>'الأصناف'!B22</f>
        <v/>
      </c>
      <c r="C23" s="17">
        <f>COUNTIFS('أسعار المنافسين'!$C$4:$C$400,A23,'أسعار المنافسين'!$G$4:$G$400,"",'أسعار المنافسين'!$H$4:$H$400,"&gt;0")</f>
        <v/>
      </c>
      <c r="D23" s="11">
        <f>IF(C23=0,"",AGGREGATE(15,6,'أسعار المنافسين'!$H$4:$H$400/(('أسعار المنافسين'!$C$4:$C$400=A23)*('أسعار المنافسين'!$G$4:$G$400="")*ISNUMBER('أسعار المنافسين'!$H$4:$H$400)),1))</f>
        <v/>
      </c>
      <c r="E23" s="11">
        <f>IF(C23=0,"",AVERAGEIFS('أسعار المنافسين'!$H$4:$H$400,'أسعار المنافسين'!$C$4:$C$400,A23,'أسعار المنافسين'!$G$4:$G$400,""))</f>
        <v/>
      </c>
      <c r="F23" s="11">
        <f>IF(C23=0,"",AGGREGATE(14,6,'أسعار المنافسين'!$H$4:$H$400/(('أسعار المنافسين'!$C$4:$C$400=A23)*('أسعار المنافسين'!$G$4:$G$400="")*ISNUMBER('أسعار المنافسين'!$H$4:$H$400)),1))</f>
        <v/>
      </c>
      <c r="G23" s="18">
        <f>IF('الأصناف'!E22="","",'الأصناف'!E22)</f>
        <v/>
      </c>
      <c r="H23" s="19">
        <f>IF(OR(G23="",D23=""),"",G23/D23-1)</f>
        <v/>
      </c>
      <c r="I23" s="19">
        <f>IF(OR(G23="",E23=""),"",G23/E23-1)</f>
        <v/>
      </c>
      <c r="J23" s="6">
        <f>IF(C23=0,"لا توجد أسعار منشورة",IF(G23="","أدخل سعرنا",IF(H23&lt;=0,"الأرخص أو مساوٍ",IF(H23&lt;=0.1,"قريب (حتى +10%)","أغلى من الأقل بأكثر من 10%"))))</f>
        <v/>
      </c>
    </row>
    <row r="24">
      <c r="A24" s="15">
        <f>'الأصناف'!A23</f>
        <v/>
      </c>
      <c r="B24" s="16">
        <f>'الأصناف'!B23</f>
        <v/>
      </c>
      <c r="C24" s="17">
        <f>COUNTIFS('أسعار المنافسين'!$C$4:$C$400,A24,'أسعار المنافسين'!$G$4:$G$400,"",'أسعار المنافسين'!$H$4:$H$400,"&gt;0")</f>
        <v/>
      </c>
      <c r="D24" s="11">
        <f>IF(C24=0,"",AGGREGATE(15,6,'أسعار المنافسين'!$H$4:$H$400/(('أسعار المنافسين'!$C$4:$C$400=A24)*('أسعار المنافسين'!$G$4:$G$400="")*ISNUMBER('أسعار المنافسين'!$H$4:$H$400)),1))</f>
        <v/>
      </c>
      <c r="E24" s="11">
        <f>IF(C24=0,"",AVERAGEIFS('أسعار المنافسين'!$H$4:$H$400,'أسعار المنافسين'!$C$4:$C$400,A24,'أسعار المنافسين'!$G$4:$G$400,""))</f>
        <v/>
      </c>
      <c r="F24" s="11">
        <f>IF(C24=0,"",AGGREGATE(14,6,'أسعار المنافسين'!$H$4:$H$400/(('أسعار المنافسين'!$C$4:$C$400=A24)*('أسعار المنافسين'!$G$4:$G$400="")*ISNUMBER('أسعار المنافسين'!$H$4:$H$400)),1))</f>
        <v/>
      </c>
      <c r="G24" s="18">
        <f>IF('الأصناف'!E23="","",'الأصناف'!E23)</f>
        <v/>
      </c>
      <c r="H24" s="19">
        <f>IF(OR(G24="",D24=""),"",G24/D24-1)</f>
        <v/>
      </c>
      <c r="I24" s="19">
        <f>IF(OR(G24="",E24=""),"",G24/E24-1)</f>
        <v/>
      </c>
      <c r="J24" s="6">
        <f>IF(C24=0,"لا توجد أسعار منشورة",IF(G24="","أدخل سعرنا",IF(H24&lt;=0,"الأرخص أو مساوٍ",IF(H24&lt;=0.1,"قريب (حتى +10%)","أغلى من الأقل بأكثر من 10%"))))</f>
        <v/>
      </c>
    </row>
    <row r="26">
      <c r="A26" s="8" t="inlineStr">
        <is>
          <t>الحالة: "قريب" = سعرنا أعلى من أقل منافس بنسبة حتى 10%. الأسعار المحسوبة تستثني السطور المعلّمة "تحقق؟ = نعم". اللون الأخضر = رابط من صفحة أخرى.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6" customWidth="1" min="4" max="4"/>
    <col width="60" customWidth="1" min="5" max="5"/>
    <col width="38" customWidth="1" min="6" max="6"/>
  </cols>
  <sheetData>
    <row r="1">
      <c r="A1" s="4" t="inlineStr">
        <is>
          <t>قائمة المنافسين في إسطنبول الأوروبية (من ملف التحليل)</t>
        </is>
      </c>
    </row>
    <row r="3" ht="30" customHeight="1">
      <c r="A3" s="5" t="inlineStr">
        <is>
          <t>الشركة</t>
        </is>
      </c>
      <c r="B3" s="5" t="inlineStr">
        <is>
          <t>المنطقة</t>
        </is>
      </c>
      <c r="C3" s="5" t="inlineStr">
        <is>
          <t>النوع</t>
        </is>
      </c>
      <c r="D3" s="5" t="inlineStr">
        <is>
          <t>يعرض أسعارًا؟</t>
        </is>
      </c>
      <c r="E3" s="5" t="inlineStr">
        <is>
          <t>ملاحظات</t>
        </is>
      </c>
      <c r="F3" s="5" t="inlineStr">
        <is>
          <t>الموقع</t>
        </is>
      </c>
    </row>
    <row r="4">
      <c r="A4" s="6" t="inlineStr">
        <is>
          <t>Akva Ambalaj</t>
        </is>
      </c>
      <c r="B4" s="6" t="inlineStr">
        <is>
          <t>Büyükçekmece</t>
        </is>
      </c>
      <c r="C4" s="6" t="inlineStr">
        <is>
          <t>مصنّع</t>
        </is>
      </c>
      <c r="D4" s="6" t="inlineStr">
        <is>
          <t>لا</t>
        </is>
      </c>
      <c r="E4" s="6" t="inlineStr">
        <is>
          <t>köşebent وstreç وbant. ISO 9001/14001</t>
        </is>
      </c>
      <c r="F4" s="12" t="inlineStr">
        <is>
          <t>https://www.akvaambalaj.com/</t>
        </is>
      </c>
    </row>
    <row r="5">
      <c r="A5" s="6" t="inlineStr">
        <is>
          <t>Kırıktaş Ambalaj A.Ş</t>
        </is>
      </c>
      <c r="B5" s="6" t="inlineStr">
        <is>
          <t>Hadımköy / Arnavutköy</t>
        </is>
      </c>
      <c r="C5" s="6" t="inlineStr">
        <is>
          <t>مصنّع</t>
        </is>
      </c>
      <c r="D5" s="6" t="inlineStr">
        <is>
          <t>متجر أونلاين</t>
        </is>
      </c>
      <c r="E5" s="6" t="inlineStr">
        <is>
          <t>فويل وstreç غذائي. ambalajsepete.com</t>
        </is>
      </c>
      <c r="F5" s="12" t="inlineStr">
        <is>
          <t>https://www.kiriktas.com.tr/</t>
        </is>
      </c>
    </row>
    <row r="6">
      <c r="A6" s="6" t="inlineStr">
        <is>
          <t>Damra Ambalaj</t>
        </is>
      </c>
      <c r="B6" s="6" t="inlineStr">
        <is>
          <t>Hadımköy / Arnavutköy</t>
        </is>
      </c>
      <c r="C6" s="6" t="inlineStr">
        <is>
          <t>مصنّع</t>
        </is>
      </c>
      <c r="D6" s="6" t="inlineStr">
        <is>
          <t>لا</t>
        </is>
      </c>
      <c r="E6" s="6" t="inlineStr">
        <is>
          <t>PVC streç</t>
        </is>
      </c>
      <c r="F6" s="12" t="inlineStr">
        <is>
          <t>https://www.damraambalaj.com.tr/</t>
        </is>
      </c>
    </row>
    <row r="7">
      <c r="A7" s="6" t="inlineStr">
        <is>
          <t>İleri Bant</t>
        </is>
      </c>
      <c r="B7" s="6" t="inlineStr">
        <is>
          <t>İkitelli (ESKOOP)</t>
        </is>
      </c>
      <c r="C7" s="6" t="inlineStr">
        <is>
          <t>مصنّع</t>
        </is>
      </c>
      <c r="D7" s="6" t="inlineStr">
        <is>
          <t>لا</t>
        </is>
      </c>
      <c r="E7" s="6" t="inlineStr">
        <is>
          <t>علامات مسجلة: Next Tape, Klasbant</t>
        </is>
      </c>
      <c r="F7" s="12" t="inlineStr">
        <is>
          <t>https://www.ileribant.com/</t>
        </is>
      </c>
    </row>
    <row r="8">
      <c r="A8" s="6" t="inlineStr">
        <is>
          <t>Sarcina Ambalaj</t>
        </is>
      </c>
      <c r="B8" s="6" t="inlineStr">
        <is>
          <t>İkitelli OSB</t>
        </is>
      </c>
      <c r="C8" s="6" t="inlineStr">
        <is>
          <t>مصنّع</t>
        </is>
      </c>
      <c r="D8" s="6" t="inlineStr">
        <is>
          <t>لا</t>
        </is>
      </c>
      <c r="E8" s="6" t="inlineStr">
        <is>
          <t>slipsheet وstabulon</t>
        </is>
      </c>
      <c r="F8" s="12" t="inlineStr">
        <is>
          <t>https://www.sarcina.com.tr/</t>
        </is>
      </c>
    </row>
    <row r="9">
      <c r="A9" s="6" t="inlineStr">
        <is>
          <t>ACK Plastik</t>
        </is>
      </c>
      <c r="B9" s="6" t="inlineStr">
        <is>
          <t>Beylikdüzü OSB + Avcılar</t>
        </is>
      </c>
      <c r="C9" s="6" t="inlineStr">
        <is>
          <t>مصنّع</t>
        </is>
      </c>
      <c r="D9" s="6" t="inlineStr">
        <is>
          <t>لا</t>
        </is>
      </c>
      <c r="E9" s="6" t="inlineStr">
        <is>
          <t>الأقرب لنموذجنا: تغليف + سلامة + قرطاسية + نظافة</t>
        </is>
      </c>
      <c r="F9" s="12" t="inlineStr">
        <is>
          <t>https://ackplastik.com/</t>
        </is>
      </c>
    </row>
    <row r="10">
      <c r="A10" s="6" t="inlineStr">
        <is>
          <t>Paksan Bant</t>
        </is>
      </c>
      <c r="B10" s="6" t="inlineStr">
        <is>
          <t>Beylikdüzü</t>
        </is>
      </c>
      <c r="C10" s="6" t="inlineStr">
        <is>
          <t>مصنّع/موزّع</t>
        </is>
      </c>
      <c r="D10" s="6" t="inlineStr">
        <is>
          <t>لا</t>
        </is>
      </c>
      <c r="E10" s="6" t="inlineStr">
        <is>
          <t>palet streç وshrink</t>
        </is>
      </c>
      <c r="F10" s="12" t="inlineStr">
        <is>
          <t>https://www.paksanbant.com/</t>
        </is>
      </c>
    </row>
    <row r="11">
      <c r="A11" s="6" t="inlineStr">
        <is>
          <t>Akbrella</t>
        </is>
      </c>
      <c r="B11" s="6" t="inlineStr">
        <is>
          <t>Esenyurt</t>
        </is>
      </c>
      <c r="C11" s="6" t="inlineStr">
        <is>
          <t>مصنّع</t>
        </is>
      </c>
      <c r="D11" s="6" t="inlineStr">
        <is>
          <t>لا</t>
        </is>
      </c>
      <c r="E11" s="6" t="inlineStr">
        <is>
          <t>balonlu naylon وstreç</t>
        </is>
      </c>
      <c r="F11" s="12" t="inlineStr">
        <is>
          <t>https://www.akbrella.com.tr/</t>
        </is>
      </c>
    </row>
    <row r="12">
      <c r="A12" s="6" t="inlineStr">
        <is>
          <t>Hayden Ambalaj</t>
        </is>
      </c>
      <c r="B12" s="6" t="inlineStr">
        <is>
          <t>İkitelli (غير مؤكد)</t>
        </is>
      </c>
      <c r="C12" s="6" t="inlineStr">
        <is>
          <t>مصنّع</t>
        </is>
      </c>
      <c r="D12" s="6" t="inlineStr">
        <is>
          <t>غير معروف</t>
        </is>
      </c>
      <c r="E12" s="6" t="inlineStr">
        <is>
          <t>koli bandı + streç</t>
        </is>
      </c>
      <c r="F12" s="20" t="inlineStr"/>
    </row>
    <row r="13">
      <c r="A13" s="6" t="inlineStr">
        <is>
          <t>Gürban Ambalaj</t>
        </is>
      </c>
      <c r="B13" s="6" t="inlineStr">
        <is>
          <t>İkitelli OSB</t>
        </is>
      </c>
      <c r="C13" s="6" t="inlineStr">
        <is>
          <t>مصنّع</t>
        </is>
      </c>
      <c r="D13" s="6" t="inlineStr">
        <is>
          <t>غير معروف</t>
        </is>
      </c>
      <c r="E13" s="6" t="inlineStr">
        <is>
          <t>koli bandı + streç</t>
        </is>
      </c>
      <c r="F13" s="20" t="inlineStr"/>
    </row>
    <row r="14">
      <c r="A14" s="6" t="inlineStr">
        <is>
          <t>Furkan Plastik</t>
        </is>
      </c>
      <c r="B14" s="6" t="inlineStr">
        <is>
          <t>Güngören</t>
        </is>
      </c>
      <c r="C14" s="6" t="inlineStr">
        <is>
          <t>مصنّع</t>
        </is>
      </c>
      <c r="D14" s="6" t="inlineStr">
        <is>
          <t>غير معروف</t>
        </is>
      </c>
      <c r="E14" s="6" t="inlineStr">
        <is>
          <t>koli bandı</t>
        </is>
      </c>
      <c r="F14" s="12" t="inlineStr">
        <is>
          <t>https://www.furkanplastik.com/</t>
        </is>
      </c>
    </row>
    <row r="15">
      <c r="A15" s="6" t="inlineStr">
        <is>
          <t>Kolici</t>
        </is>
      </c>
      <c r="B15" s="6" t="inlineStr">
        <is>
          <t>Başakşehir / Kayabaşı</t>
        </is>
      </c>
      <c r="C15" s="6" t="inlineStr">
        <is>
          <t>مصنّع كرتون</t>
        </is>
      </c>
      <c r="D15" s="6" t="inlineStr">
        <is>
          <t>متجر</t>
        </is>
      </c>
      <c r="E15" s="6" t="inlineStr">
        <is>
          <t>مصنع كرتون</t>
        </is>
      </c>
      <c r="F15" s="12" t="inlineStr">
        <is>
          <t>https://www.kolici.com/</t>
        </is>
      </c>
    </row>
    <row r="16">
      <c r="A16" s="6" t="inlineStr">
        <is>
          <t>Kale Ambalaj</t>
        </is>
      </c>
      <c r="B16" s="6" t="inlineStr">
        <is>
          <t>Zeytinburnu (مستنتج)</t>
        </is>
      </c>
      <c r="C16" s="6" t="inlineStr">
        <is>
          <t>مصنّع</t>
        </is>
      </c>
      <c r="D16" s="6" t="inlineStr">
        <is>
          <t>غير معروف</t>
        </is>
      </c>
      <c r="E16" s="6" t="inlineStr">
        <is>
          <t>palet streç</t>
        </is>
      </c>
      <c r="F16" s="12" t="inlineStr">
        <is>
          <t>https://www.toptanstrec.com/</t>
        </is>
      </c>
    </row>
    <row r="17">
      <c r="A17" s="6" t="inlineStr">
        <is>
          <t>Birinci Kalite Ambalaj</t>
        </is>
      </c>
      <c r="B17" s="6" t="inlineStr">
        <is>
          <t>Hadımköy / Arnavutköy</t>
        </is>
      </c>
      <c r="C17" s="6" t="inlineStr">
        <is>
          <t>موزّع</t>
        </is>
      </c>
      <c r="D17" s="6" t="inlineStr">
        <is>
          <t>غير معروف</t>
        </is>
      </c>
      <c r="E17" s="6" t="inlineStr"/>
      <c r="F17" s="20" t="inlineStr"/>
    </row>
    <row r="18">
      <c r="A18" s="6" t="inlineStr">
        <is>
          <t>Arı Ambalaj</t>
        </is>
      </c>
      <c r="B18" s="6" t="inlineStr">
        <is>
          <t>Arnavutköy</t>
        </is>
      </c>
      <c r="C18" s="6" t="inlineStr">
        <is>
          <t>موزّع</t>
        </is>
      </c>
      <c r="D18" s="6" t="inlineStr">
        <is>
          <t>لا</t>
        </is>
      </c>
      <c r="E18" s="6" t="inlineStr">
        <is>
          <t>يعلن عبر Instagram</t>
        </is>
      </c>
      <c r="F18" s="20" t="inlineStr"/>
    </row>
    <row r="19">
      <c r="A19" s="6" t="inlineStr">
        <is>
          <t>Hamidiye Ambalaj</t>
        </is>
      </c>
      <c r="B19" s="6" t="inlineStr">
        <is>
          <t>Bağcılar (İSTOÇ)</t>
        </is>
      </c>
      <c r="C19" s="6" t="inlineStr">
        <is>
          <t>متجر أونلاين</t>
        </is>
      </c>
      <c r="D19" s="6" t="inlineStr">
        <is>
          <t>نعم + سلة</t>
        </is>
      </c>
      <c r="E19" s="6" t="inlineStr">
        <is>
          <t>شحن في نفس اليوم قبل 15:00</t>
        </is>
      </c>
      <c r="F19" s="12" t="inlineStr">
        <is>
          <t>https://hamidiyeambalaj.com/</t>
        </is>
      </c>
    </row>
    <row r="20">
      <c r="A20" s="6" t="inlineStr">
        <is>
          <t>Maxi Ambalaj (Marmara Koli)</t>
        </is>
      </c>
      <c r="B20" s="6" t="inlineStr">
        <is>
          <t>غير منشور</t>
        </is>
      </c>
      <c r="C20" s="6" t="inlineStr">
        <is>
          <t>متجر أونلاين</t>
        </is>
      </c>
      <c r="D20" s="6" t="inlineStr">
        <is>
          <t>نعم + سلة</t>
        </is>
      </c>
      <c r="E20" s="6" t="inlineStr">
        <is>
          <t>شحن مجاني على أصناف</t>
        </is>
      </c>
      <c r="F20" s="12" t="inlineStr">
        <is>
          <t>https://www.maxiambalaj.com/</t>
        </is>
      </c>
    </row>
    <row r="21">
      <c r="A21" s="6" t="inlineStr">
        <is>
          <t>Kral Bant</t>
        </is>
      </c>
      <c r="B21" s="6" t="inlineStr">
        <is>
          <t>غير منشور</t>
        </is>
      </c>
      <c r="C21" s="6" t="inlineStr">
        <is>
          <t>متجر أونلاين</t>
        </is>
      </c>
      <c r="D21" s="6" t="inlineStr">
        <is>
          <t>نعم + سلة</t>
        </is>
      </c>
      <c r="E21" s="6" t="inlineStr">
        <is>
          <t>عدد القطع في السعر غير واضح</t>
        </is>
      </c>
      <c r="F21" s="12" t="inlineStr">
        <is>
          <t>https://www.kralbant.com/</t>
        </is>
      </c>
    </row>
    <row r="22">
      <c r="A22" s="6" t="inlineStr">
        <is>
          <t>Metro Ambalaj</t>
        </is>
      </c>
      <c r="B22" s="6" t="inlineStr">
        <is>
          <t>غير منشور</t>
        </is>
      </c>
      <c r="C22" s="6" t="inlineStr">
        <is>
          <t>متجر أونلاين</t>
        </is>
      </c>
      <c r="D22" s="6" t="inlineStr">
        <is>
          <t>نعم (Shopify + PayTR)</t>
        </is>
      </c>
      <c r="E22" s="6" t="inlineStr">
        <is>
          <t>بعض الأصناف "غير متوفر"</t>
        </is>
      </c>
      <c r="F22" s="12" t="inlineStr">
        <is>
          <t>https://metroambalaj.com/</t>
        </is>
      </c>
    </row>
    <row r="23">
      <c r="A23" s="6" t="inlineStr">
        <is>
          <t>Kolibul.com</t>
        </is>
      </c>
      <c r="B23" s="6" t="inlineStr">
        <is>
          <t>Bağcılar (Fevziçakmak 2066 Sk. No:6)</t>
        </is>
      </c>
      <c r="C23" s="6" t="inlineStr">
        <is>
          <t>متجر أونلاين</t>
        </is>
      </c>
      <c r="D23" s="6" t="inlineStr">
        <is>
          <t>لا (على الصفحة الرئيسية)</t>
        </is>
      </c>
      <c r="E23" s="6" t="inlineStr">
        <is>
          <t>koli وbant وstreç</t>
        </is>
      </c>
      <c r="F23" s="12" t="inlineStr">
        <is>
          <t>https://kolibul.com/</t>
        </is>
      </c>
    </row>
    <row r="24">
      <c r="A24" s="6" t="inlineStr">
        <is>
          <t>Erpak Ambalaj</t>
        </is>
      </c>
      <c r="B24" s="6" t="inlineStr">
        <is>
          <t>Bağcılar (İSTOÇ)</t>
        </is>
      </c>
      <c r="C24" s="6" t="inlineStr">
        <is>
          <t>موزّع ماكينات</t>
        </is>
      </c>
      <c r="D24" s="6" t="inlineStr">
        <is>
          <t>لا</t>
        </is>
      </c>
      <c r="E24" s="6" t="inlineStr">
        <is>
          <t>ماكينات çember</t>
        </is>
      </c>
      <c r="F24" s="12" t="inlineStr">
        <is>
          <t>https://www.erpakambalaj.com/</t>
        </is>
      </c>
    </row>
    <row r="25">
      <c r="A25" s="6" t="inlineStr">
        <is>
          <t>Sebant</t>
        </is>
      </c>
      <c r="B25" s="6" t="inlineStr">
        <is>
          <t>Güngören / İSTOÇ</t>
        </is>
      </c>
      <c r="C25" s="6" t="inlineStr">
        <is>
          <t>مصنّع/موزّع</t>
        </is>
      </c>
      <c r="D25" s="6" t="inlineStr">
        <is>
          <t>غير معروف</t>
        </is>
      </c>
      <c r="E25" s="6" t="inlineStr">
        <is>
          <t>balonlu naylon</t>
        </is>
      </c>
      <c r="F25" s="12" t="inlineStr">
        <is>
          <t>http://www.sebant.com.tr/</t>
        </is>
      </c>
    </row>
    <row r="26">
      <c r="A26" s="6" t="inlineStr">
        <is>
          <t>Sakura Ambalaj</t>
        </is>
      </c>
      <c r="B26" s="6" t="inlineStr">
        <is>
          <t>غير منشور (يخدم Esenyurt/Avcılar/Beylikdüzü)</t>
        </is>
      </c>
      <c r="C26" s="6" t="inlineStr">
        <is>
          <t>موزّع</t>
        </is>
      </c>
      <c r="D26" s="6" t="inlineStr">
        <is>
          <t>لا</t>
        </is>
      </c>
      <c r="E26" s="6" t="inlineStr">
        <is>
          <t>صفحات SEO لكل منطقة</t>
        </is>
      </c>
      <c r="F26" s="12" t="inlineStr">
        <is>
          <t>https://sakuraambalaj.com/</t>
        </is>
      </c>
    </row>
    <row r="27">
      <c r="A27" s="6" t="inlineStr">
        <is>
          <t>Yılpak Ambalaj</t>
        </is>
      </c>
      <c r="B27" s="6" t="inlineStr">
        <is>
          <t>Beylikdüzü / Yakuplu</t>
        </is>
      </c>
      <c r="C27" s="6" t="inlineStr">
        <is>
          <t>موزّع</t>
        </is>
      </c>
      <c r="D27" s="6" t="inlineStr">
        <is>
          <t>غير معروف</t>
        </is>
      </c>
      <c r="E27" s="6" t="inlineStr">
        <is>
          <t>palet streç + koli bandı</t>
        </is>
      </c>
      <c r="F27" s="20" t="inlineStr"/>
    </row>
    <row r="28">
      <c r="A28" s="6" t="inlineStr">
        <is>
          <t>Plast.com.tr</t>
        </is>
      </c>
      <c r="B28" s="6" t="inlineStr">
        <is>
          <t>غير منشور</t>
        </is>
      </c>
      <c r="C28" s="6" t="inlineStr">
        <is>
          <t>مصنّع بالتات</t>
        </is>
      </c>
      <c r="D28" s="6" t="inlineStr">
        <is>
          <t>نعم (بالدولار)</t>
        </is>
      </c>
      <c r="E28" s="6" t="inlineStr">
        <is>
          <t>بالتات بلاستيك 12.9 إلى 46.8 دولار</t>
        </is>
      </c>
      <c r="F28" s="12" t="inlineStr">
        <is>
          <t>https://www.plast.com.tr/</t>
        </is>
      </c>
    </row>
    <row r="29">
      <c r="A29" s="6" t="inlineStr">
        <is>
          <t>Plastik Palet Market</t>
        </is>
      </c>
      <c r="B29" s="6" t="inlineStr">
        <is>
          <t>İkitelli OSB</t>
        </is>
      </c>
      <c r="C29" s="6" t="inlineStr">
        <is>
          <t>بالتات</t>
        </is>
      </c>
      <c r="D29" s="6" t="inlineStr">
        <is>
          <t>غير معروف</t>
        </is>
      </c>
      <c r="E29" s="6" t="inlineStr"/>
      <c r="F29" s="20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8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2026-10-29T11:20:17Z</dcterms:created>
  <dcterms:modified xsi:type="dcterms:W3CDTF">2026-10-29T11:20:17Z</dcterms:modified>
</cp:coreProperties>
</file>